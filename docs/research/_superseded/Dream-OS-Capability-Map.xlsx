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pability map" sheetId="2" state="visible" r:id="rId4"/>
    <sheet name="Summary" sheetId="3" state="visible" r:id="rId5"/>
  </sheets>
  <definedNames>
    <definedName function="false" hidden="true" localSheetId="1" name="_xlnm._FilterDatabase" vbProcedure="false">'Capability map'!$A$1:$L$123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<sst xmlns="http://schemas.openxmlformats.org/spreadsheetml/2006/main" count="1241" uniqueCount="511">
  <si>
    <t xml:space="preserve">Dream OS Capability Map</t>
  </si>
  <si>
    <t xml:space="preserve">Competitive capability map, researched 31 August 2026</t>
  </si>
  <si>
    <t xml:space="preserve">What this is</t>
  </si>
  <si>
    <t xml:space="preserve">122 estate-agency capabilities, and whether each of the four systems worth learning from does it.</t>
  </si>
  <si>
    <t xml:space="preserve">The four columns were checked against vendor documentation and help centres, not affiliate review sites.</t>
  </si>
  <si>
    <t xml:space="preserve">The four systems</t>
  </si>
  <si>
    <t xml:space="preserve">BoldTrail — US, formerly kvCORE, ~400,000 agents. The famous one: lead conversion, IDX, dialer, AI, back office.</t>
  </si>
  <si>
    <t xml:space="preserve">Reapit — UK, 15,000 branches. The incumbent, and the platform architecture is the lesson.</t>
  </si>
  <si>
    <t xml:space="preserve">Street.co.uk — UK challenger. The best modern execution of the whole agency workflow.</t>
  </si>
  <si>
    <t xml:space="preserve">Entegral Base — SA, R949/month for up to 50 users. What Bronwyn could buy tomorrow, so it is the price ceiling.</t>
  </si>
  <si>
    <t xml:space="preserve">How to use it</t>
  </si>
  <si>
    <t xml:space="preserve">Column K, Decision, is a dropdown: Must have / Nice to have / Not for us. Pick one per row.</t>
  </si>
  <si>
    <t xml:space="preserve">Column L is yours for a note. Both are shaded cream — they are the only cells meant to be edited.</t>
  </si>
  <si>
    <t xml:space="preserve">The Summary tab counts your decisions as you go. Use the filter arrows on row 1 of the map to work area by area.</t>
  </si>
  <si>
    <t xml:space="preserve">Reading the coverage columns</t>
  </si>
  <si>
    <t xml:space="preserve">Yes — the system does this.  Partial — it does some of it, or only through a partner.</t>
  </si>
  <si>
    <t xml:space="preserve">No — it does not.  Not confirmed — the claim could not be verified either way, so it is left open rather than guessed.</t>
  </si>
  <si>
    <t xml:space="preserve">Dream OS today</t>
  </si>
  <si>
    <t xml:space="preserve">Built / Partial / Planned / Not yet, from a read of the repository on 31 August 2026. Planned means a migration or plan exists but is not wired to the app.</t>
  </si>
  <si>
    <t xml:space="preserve">Three things worth knowing</t>
  </si>
  <si>
    <t xml:space="preserve">A conveyancer may not pay commission to a practitioner without a certified copy of a valid Fidelity Fund Certificate. We store the dates already; nothing gates on them. (Row $04)</t>
  </si>
  <si>
    <t xml:space="preserve">Since the Competition Commission ruling of 2 August 2023, Property24, Private Property and PropData must accept third-party listing feeds free of charge. Syndication is cheap to enter now. (Rows W01-W04)</t>
  </si>
  <si>
    <t xml:space="preserve">A practitioner may not accept a mandate without a signed mandatory disclosure form, annexed to the sale. If it is missing, the agreement reads as though no defects were disclosed. (Row M11)</t>
  </si>
  <si>
    <t xml:space="preserve">ID</t>
  </si>
  <si>
    <t xml:space="preserve">Area</t>
  </si>
  <si>
    <t xml:space="preserve">Capability</t>
  </si>
  <si>
    <t xml:space="preserve">Why it matters</t>
  </si>
  <si>
    <t xml:space="preserve">BoldTrail</t>
  </si>
  <si>
    <t xml:space="preserve">Reapit</t>
  </si>
  <si>
    <t xml:space="preserve">Street.co.uk</t>
  </si>
  <si>
    <t xml:space="preserve">Entegral Base</t>
  </si>
  <si>
    <t xml:space="preserve">Dream OS note</t>
  </si>
  <si>
    <t xml:space="preserve">Decision</t>
  </si>
  <si>
    <t xml:space="preserve">Note</t>
  </si>
  <si>
    <t xml:space="preserve">C01</t>
  </si>
  <si>
    <t xml:space="preserve">Contacts &amp; leads</t>
  </si>
  <si>
    <t xml:space="preserve">Contact record with multiple roles</t>
  </si>
  <si>
    <t xml:space="preserve">One person who is a seller here and a buyer there, without duplicate records</t>
  </si>
  <si>
    <t xml:space="preserve">Yes</t>
  </si>
  <si>
    <t xml:space="preserve">Built</t>
  </si>
  <si>
    <t xml:space="preserve">party table + role timeline on /contacts</t>
  </si>
  <si>
    <t xml:space="preserve">C02</t>
  </si>
  <si>
    <t xml:space="preserve">Buyer requirement profile</t>
  </si>
  <si>
    <t xml:space="preserve">Area, price band, beds, must-haves — stored, not in the agent's head</t>
  </si>
  <si>
    <t xml:space="preserve">Planned</t>
  </si>
  <si>
    <t xml:space="preserve">party_interest in migration 0066, no UI</t>
  </si>
  <si>
    <t xml:space="preserve">C03</t>
  </si>
  <si>
    <t xml:space="preserve">Buyer-to-listing matching</t>
  </si>
  <si>
    <t xml:space="preserve">Show me everything on our books this buyer should see</t>
  </si>
  <si>
    <t xml:space="preserve">Not yet</t>
  </si>
  <si>
    <t xml:space="preserve">C04</t>
  </si>
  <si>
    <t xml:space="preserve">Reverse matching on new stock</t>
  </si>
  <si>
    <t xml:space="preserve">New listing lands, system names the buyers to ring first</t>
  </si>
  <si>
    <t xml:space="preserve">Partial</t>
  </si>
  <si>
    <t xml:space="preserve">C05</t>
  </si>
  <si>
    <t xml:space="preserve">Portal enquiry straight into the CRM</t>
  </si>
  <si>
    <t xml:space="preserve">P24 / Private Property leads arrive as records, not inbox clutter</t>
  </si>
  <si>
    <t xml:space="preserve">email intake parses enquiries; no portal feed</t>
  </si>
  <si>
    <t xml:space="preserve">C06</t>
  </si>
  <si>
    <t xml:space="preserve">Lead source attribution</t>
  </si>
  <si>
    <t xml:space="preserve">Which portal, campaign or board brought this buyer</t>
  </si>
  <si>
    <t xml:space="preserve">contact_source enum, unwired</t>
  </si>
  <si>
    <t xml:space="preserve">C07</t>
  </si>
  <si>
    <t xml:space="preserve">Automatic lead routing</t>
  </si>
  <si>
    <t xml:space="preserve">Round-robin, by suburb, by price band — assigned without a human</t>
  </si>
  <si>
    <t xml:space="preserve">C08</t>
  </si>
  <si>
    <t xml:space="preserve">Lead scoring</t>
  </si>
  <si>
    <t xml:space="preserve">Rank who is actually close to transacting</t>
  </si>
  <si>
    <t xml:space="preserve">Not confirmed</t>
  </si>
  <si>
    <t xml:space="preserve">No</t>
  </si>
  <si>
    <t xml:space="preserve">C09</t>
  </si>
  <si>
    <t xml:space="preserve">Duplicate detection &amp; merge</t>
  </si>
  <si>
    <t xml:space="preserve">The same seller entered three ways, caught before it spreads</t>
  </si>
  <si>
    <t xml:space="preserve">match_candidate dedup pipeline</t>
  </si>
  <si>
    <t xml:space="preserve">C10</t>
  </si>
  <si>
    <t xml:space="preserve">Full interaction timeline</t>
  </si>
  <si>
    <t xml:space="preserve">Every call, mail, viewing and document on one record</t>
  </si>
  <si>
    <t xml:space="preserve">L01</t>
  </si>
  <si>
    <t xml:space="preserve">Listings &amp; property data</t>
  </si>
  <si>
    <t xml:space="preserve">Listing record with status pipeline</t>
  </si>
  <si>
    <t xml:space="preserve">Preparing → listed → under offer → sold, as states not labels</t>
  </si>
  <si>
    <t xml:space="preserve">L02</t>
  </si>
  <si>
    <t xml:space="preserve">Freehold vs sectional title as structure</t>
  </si>
  <si>
    <t xml:space="preserve">Drives which clearance certificate and which third party — not a tag</t>
  </si>
  <si>
    <t xml:space="preserve">ownership_type × property_type seeded</t>
  </si>
  <si>
    <t xml:space="preserve">L03</t>
  </si>
  <si>
    <t xml:space="preserve">Erf / cadastral parcel data</t>
  </si>
  <si>
    <t xml:space="preserve">The stand itself as a record, with its diagram and boundaries</t>
  </si>
  <si>
    <t xml:space="preserve">cadastral_parcel + erf, /erf-lookup, tile server</t>
  </si>
  <si>
    <t xml:space="preserve">L04</t>
  </si>
  <si>
    <t xml:space="preserve">Map with cadastral polygons</t>
  </si>
  <si>
    <t xml:space="preserve">Shaded erven, not pins floating on a basemap</t>
  </si>
  <si>
    <t xml:space="preserve">MapView.tsx, plan 005 shipped</t>
  </si>
  <si>
    <t xml:space="preserve">L05</t>
  </si>
  <si>
    <t xml:space="preserve">Municipal valuation roll</t>
  </si>
  <si>
    <t xml:space="preserve">What the municipality thinks it's worth, next to what we're asking</t>
  </si>
  <si>
    <t xml:space="preserve">muni_valuation + upload/parse/apply</t>
  </si>
  <si>
    <t xml:space="preserve">L06</t>
  </si>
  <si>
    <t xml:space="preserve">Deeds / title enrichment</t>
  </si>
  <si>
    <t xml:space="preserve">Registered owner, purchase date and price pulled automatically</t>
  </si>
  <si>
    <t xml:space="preserve">Lightstone, budget-capped</t>
  </si>
  <si>
    <t xml:space="preserve">L07</t>
  </si>
  <si>
    <t xml:space="preserve">Competitor stock ingest</t>
  </si>
  <si>
    <t xml:space="preserve">Everything on the market in Knysna, not only our own mandates</t>
  </si>
  <si>
    <t xml:space="preserve">P24 scraper; geocoding still unreliable</t>
  </si>
  <si>
    <t xml:space="preserve">L08</t>
  </si>
  <si>
    <t xml:space="preserve">Photo &amp; media library</t>
  </si>
  <si>
    <t xml:space="preserve">Ordered, captioned, reusable across marketing</t>
  </si>
  <si>
    <t xml:space="preserve">media bucket + lightbox</t>
  </si>
  <si>
    <t xml:space="preserve">L09</t>
  </si>
  <si>
    <t xml:space="preserve">Floorplans</t>
  </si>
  <si>
    <t xml:space="preserve">Drawn or uploaded, shown on the listing</t>
  </si>
  <si>
    <t xml:space="preserve">L10</t>
  </si>
  <si>
    <t xml:space="preserve">Virtual tours &amp; video</t>
  </si>
  <si>
    <t xml:space="preserve">360° or walkthrough attached to the listing</t>
  </si>
  <si>
    <t xml:space="preserve">L11</t>
  </si>
  <si>
    <t xml:space="preserve">Brochure &amp; window card generation</t>
  </si>
  <si>
    <t xml:space="preserve">Branded PDF off the listing data, no designer in the loop</t>
  </si>
  <si>
    <t xml:space="preserve">L12</t>
  </si>
  <si>
    <t xml:space="preserve">Price history</t>
  </si>
  <si>
    <t xml:space="preserve">Every reduction, dated, for the CMA conversation</t>
  </si>
  <si>
    <t xml:space="preserve">listing_price_history</t>
  </si>
  <si>
    <t xml:space="preserve">M01</t>
  </si>
  <si>
    <t xml:space="preserve">Mandates</t>
  </si>
  <si>
    <t xml:space="preserve">Mandate as a first-class record</t>
  </si>
  <si>
    <t xml:space="preserve">The instruction to market, not just a listing with a date on it</t>
  </si>
  <si>
    <t xml:space="preserve">mandate table + /mandates</t>
  </si>
  <si>
    <t xml:space="preserve">M02</t>
  </si>
  <si>
    <t xml:space="preserve">Mandate types modelled properly</t>
  </si>
  <si>
    <t xml:space="preserve">Sole, open, joint, multi-listing — each with its own rules</t>
  </si>
  <si>
    <t xml:space="preserve">sole and exclusive are two enum values for one thing — consolidate</t>
  </si>
  <si>
    <t xml:space="preserve">M03</t>
  </si>
  <si>
    <t xml:space="preserve">Expiry tracking with auto-expire</t>
  </si>
  <si>
    <t xml:space="preserve">Lapsed mandates stop counting as live stock on their own</t>
  </si>
  <si>
    <t xml:space="preserve">threshold watchlist on /mandates</t>
  </si>
  <si>
    <t xml:space="preserve">M04</t>
  </si>
  <si>
    <t xml:space="preserve">Renewal reminders before expiry</t>
  </si>
  <si>
    <t xml:space="preserve">Prompted to re-sign in time, not after the seller has gone</t>
  </si>
  <si>
    <t xml:space="preserve">mandate.expiry_window_days setting</t>
  </si>
  <si>
    <t xml:space="preserve">M05</t>
  </si>
  <si>
    <t xml:space="preserve">Mandate generated from a template</t>
  </si>
  <si>
    <t xml:space="preserve">The real master document, filled from the record</t>
  </si>
  <si>
    <t xml:space="preserve">MandateSole.tsx built from the wrong master — replace wholesale</t>
  </si>
  <si>
    <t xml:space="preserve">M06</t>
  </si>
  <si>
    <t xml:space="preserve">Clause library with variants</t>
  </si>
  <si>
    <t xml:space="preserve">One clause, several approved wordings, chosen per deal</t>
  </si>
  <si>
    <t xml:space="preserve">0065_document_engine.sql written, not applied</t>
  </si>
  <si>
    <t xml:space="preserve">M07</t>
  </si>
  <si>
    <t xml:space="preserve">E-signature on the mandate</t>
  </si>
  <si>
    <t xml:space="preserve">Signed on Bronwyn's iPad at the kitchen table</t>
  </si>
  <si>
    <t xml:space="preserve">M08</t>
  </si>
  <si>
    <t xml:space="preserve">Signed mandate stored and findable</t>
  </si>
  <si>
    <t xml:space="preserve">"What did we send the Wilsons in March" has an answer</t>
  </si>
  <si>
    <t xml:space="preserve">generated mandates write no document row today</t>
  </si>
  <si>
    <t xml:space="preserve">M09</t>
  </si>
  <si>
    <t xml:space="preserve">Joint-mandate counterparty agency</t>
  </si>
  <si>
    <t xml:space="preserve">Pam Golding on the other side, and the split that follows</t>
  </si>
  <si>
    <t xml:space="preserve">agency table exists for exactly this</t>
  </si>
  <si>
    <t xml:space="preserve">M10</t>
  </si>
  <si>
    <t xml:space="preserve">CPA duration &amp; notice rules enforced</t>
  </si>
  <si>
    <t xml:space="preserve">24-month cap, 20-day cancellation, pre-expiry notice — in the software</t>
  </si>
  <si>
    <t xml:space="preserve">nobody does this; verify sections before coding</t>
  </si>
  <si>
    <t xml:space="preserve">M11</t>
  </si>
  <si>
    <t xml:space="preserve">Mandatory disclosure form</t>
  </si>
  <si>
    <t xml:space="preserve">Signed by the seller before we take the mandate, annexed to the sale</t>
  </si>
  <si>
    <t xml:space="preserve">no signed form, no valid mandate — and the agreement then reads as defect-free</t>
  </si>
  <si>
    <t xml:space="preserve">V01</t>
  </si>
  <si>
    <t xml:space="preserve">Viewings &amp; vendor care</t>
  </si>
  <si>
    <t xml:space="preserve">Viewing scheduling</t>
  </si>
  <si>
    <t xml:space="preserve">Diary of who sees what, when, with which agent</t>
  </si>
  <si>
    <t xml:space="preserve">viewing table + weekly /viewings calendar</t>
  </si>
  <si>
    <t xml:space="preserve">V02</t>
  </si>
  <si>
    <t xml:space="preserve">Buyer books their own viewing</t>
  </si>
  <si>
    <t xml:space="preserve">Self-service slots, 24/7, no phone tag</t>
  </si>
  <si>
    <t xml:space="preserve">V03</t>
  </si>
  <si>
    <t xml:space="preserve">Show day management</t>
  </si>
  <si>
    <t xml:space="preserve">Open house with attendee capture, walk-ins included</t>
  </si>
  <si>
    <t xml:space="preserve">walk-in names captured without a party record</t>
  </si>
  <si>
    <t xml:space="preserve">V04</t>
  </si>
  <si>
    <t xml:space="preserve">Structured viewing feedback</t>
  </si>
  <si>
    <t xml:space="preserve">Interested / not / why — as data, not a note</t>
  </si>
  <si>
    <t xml:space="preserve">viewing_attendee.is_interested tri-state</t>
  </si>
  <si>
    <t xml:space="preserve">V05</t>
  </si>
  <si>
    <t xml:space="preserve">Automated feedback request</t>
  </si>
  <si>
    <t xml:space="preserve">The buyer gets asked without anyone remembering to ask</t>
  </si>
  <si>
    <t xml:space="preserve">V06</t>
  </si>
  <si>
    <t xml:space="preserve">Vendor progress report</t>
  </si>
  <si>
    <t xml:space="preserve">Weekly "here's what happened on your house" going out automatically</t>
  </si>
  <si>
    <t xml:space="preserve">the single cheapest seller-retention feature on this sheet</t>
  </si>
  <si>
    <t xml:space="preserve">V07</t>
  </si>
  <si>
    <t xml:space="preserve">Seller portal</t>
  </si>
  <si>
    <t xml:space="preserve">The seller logs in and sees views, feedback, offers</t>
  </si>
  <si>
    <t xml:space="preserve">client role reserved in RLS, not enabled</t>
  </si>
  <si>
    <t xml:space="preserve">V08</t>
  </si>
  <si>
    <t xml:space="preserve">Buyer portal</t>
  </si>
  <si>
    <t xml:space="preserve">Saved properties, documents, where their offer stands</t>
  </si>
  <si>
    <t xml:space="preserve">V09</t>
  </si>
  <si>
    <t xml:space="preserve">Valuation / CMA pipeline</t>
  </si>
  <si>
    <t xml:space="preserve">Appraisal booked → presented → won or lost, tracked as a funnel</t>
  </si>
  <si>
    <t xml:space="preserve">Lightstone + muni data exist; no appraisal funnel</t>
  </si>
  <si>
    <t xml:space="preserve">D01</t>
  </si>
  <si>
    <t xml:space="preserve">Offers &amp; deal progression</t>
  </si>
  <si>
    <t xml:space="preserve">Deal pipeline through to registration</t>
  </si>
  <si>
    <t xml:space="preserve">One board from mandate to transfer, not a spreadsheet</t>
  </si>
  <si>
    <t xml:space="preserve">transfer table + /pipeline</t>
  </si>
  <si>
    <t xml:space="preserve">D02</t>
  </si>
  <si>
    <t xml:space="preserve">Structured offer record</t>
  </si>
  <si>
    <t xml:space="preserve">Amount, occupation date, expiry — fields, not a PDF</t>
  </si>
  <si>
    <t xml:space="preserve">offer table extended in 0057</t>
  </si>
  <si>
    <t xml:space="preserve">D03</t>
  </si>
  <si>
    <t xml:space="preserve">Agreement of Sale is the offer</t>
  </si>
  <si>
    <t xml:space="preserve">No separate OTP at Dream — one irrevocable document</t>
  </si>
  <si>
    <t xml:space="preserve">domain correction already in the model</t>
  </si>
  <si>
    <t xml:space="preserve">D04</t>
  </si>
  <si>
    <t xml:space="preserve">Suspensive conditions with dates</t>
  </si>
  <si>
    <t xml:space="preserve">Bond by the 30th, sale of buyer's house — each with its own state</t>
  </si>
  <si>
    <t xml:space="preserve">suspensive_condition + evidence document link</t>
  </si>
  <si>
    <t xml:space="preserve">D05</t>
  </si>
  <si>
    <t xml:space="preserve">Automatic lapse when a condition fails</t>
  </si>
  <si>
    <t xml:space="preserve">The agreement is void, and the system knows it that morning</t>
  </si>
  <si>
    <t xml:space="preserve">lifecycle exists; automatic lapse does not</t>
  </si>
  <si>
    <t xml:space="preserve">D06</t>
  </si>
  <si>
    <t xml:space="preserve">Bond application tracking</t>
  </si>
  <si>
    <t xml:space="preserve">Which bank, applied when, approved for how much</t>
  </si>
  <si>
    <t xml:space="preserve">offer.bond_* fields only, no workflow</t>
  </si>
  <si>
    <t xml:space="preserve">D07</t>
  </si>
  <si>
    <t xml:space="preserve">Conveyancer assignment &amp; handoff</t>
  </si>
  <si>
    <t xml:space="preserve">Attorney on the deal, with the pack sent to them</t>
  </si>
  <si>
    <t xml:space="preserve">conveyancer tables exist; no UI assigns one</t>
  </si>
  <si>
    <t xml:space="preserve">D08</t>
  </si>
  <si>
    <t xml:space="preserve">Transfer &amp; registration progress</t>
  </si>
  <si>
    <t xml:space="preserve">Lodged, examined, registered — visible without phoning the attorney</t>
  </si>
  <si>
    <t xml:space="preserve">transfer.registered_date + RegisteredStamp</t>
  </si>
  <si>
    <t xml:space="preserve">D09</t>
  </si>
  <si>
    <t xml:space="preserve">Rates clearance step</t>
  </si>
  <si>
    <t xml:space="preserve">Municipal clearance as a blocking task with a 60-day clock</t>
  </si>
  <si>
    <t xml:space="preserve">freehold deals cannot register without it</t>
  </si>
  <si>
    <t xml:space="preserve">D10</t>
  </si>
  <si>
    <t xml:space="preserve">Levy clearance step</t>
  </si>
  <si>
    <t xml:space="preserve">Body corporate clearance — slower, and a different party entirely</t>
  </si>
  <si>
    <t xml:space="preserve">sectional title only; drives off L02</t>
  </si>
  <si>
    <t xml:space="preserve">D11</t>
  </si>
  <si>
    <t xml:space="preserve">Chain / dependent deals</t>
  </si>
  <si>
    <t xml:space="preserve">Their sale funds this purchase — see the whole chain</t>
  </si>
  <si>
    <t xml:space="preserve">the UK's core idea; partly relevant here</t>
  </si>
  <si>
    <t xml:space="preserve">D12</t>
  </si>
  <si>
    <t xml:space="preserve">Milestone comms to all parties</t>
  </si>
  <si>
    <t xml:space="preserve">Bond approved → everyone told, without anyone typing it</t>
  </si>
  <si>
    <t xml:space="preserve">$01</t>
  </si>
  <si>
    <t xml:space="preserve">Money — commission &amp; trust</t>
  </si>
  <si>
    <t xml:space="preserve">Commission calculated from the deal</t>
  </si>
  <si>
    <t xml:space="preserve">Gross, VAT, net — off the sale price automatically</t>
  </si>
  <si>
    <t xml:space="preserve">commission table exists; no code reads or writes it</t>
  </si>
  <si>
    <t xml:space="preserve">$02</t>
  </si>
  <si>
    <t xml:space="preserve">Splits between agents and agencies</t>
  </si>
  <si>
    <t xml:space="preserve">Listing agent, selling agent, joint-mandate partner</t>
  </si>
  <si>
    <t xml:space="preserve">$03</t>
  </si>
  <si>
    <t xml:space="preserve">Agent commission statements</t>
  </si>
  <si>
    <t xml:space="preserve">A slip each agent can check against their own numbers</t>
  </si>
  <si>
    <t xml:space="preserve">$04</t>
  </si>
  <si>
    <t xml:space="preserve">FFC gate on payout</t>
  </si>
  <si>
    <t xml:space="preserve">No valid Fidelity Fund Certificate, no commission — enforced</t>
  </si>
  <si>
    <t xml:space="preserve">FFC dates are tracked; nothing blocks on them yet</t>
  </si>
  <si>
    <t xml:space="preserve">$05</t>
  </si>
  <si>
    <t xml:space="preserve">Commission forecast</t>
  </si>
  <si>
    <t xml:space="preserve">What the pipeline is worth if it all registers</t>
  </si>
  <si>
    <t xml:space="preserve">$06</t>
  </si>
  <si>
    <t xml:space="preserve">Trust account ledger</t>
  </si>
  <si>
    <t xml:space="preserve">Client money in, held, disbursed — with provenance per deposit</t>
  </si>
  <si>
    <t xml:space="preserve">s54 requires the account; the OS doesn't see it</t>
  </si>
  <si>
    <t xml:space="preserve">$07</t>
  </si>
  <si>
    <t xml:space="preserve">Trust reconciliation &amp; audit export</t>
  </si>
  <si>
    <t xml:space="preserve">Monthly recon the auditor accepts without a rebuild</t>
  </si>
  <si>
    <t xml:space="preserve">$08</t>
  </si>
  <si>
    <t xml:space="preserve">Accounting integration</t>
  </si>
  <si>
    <t xml:space="preserve">Xero or Sage, so the books aren't retyped</t>
  </si>
  <si>
    <t xml:space="preserve">$09</t>
  </si>
  <si>
    <t xml:space="preserve">Referral &amp; bond origination income</t>
  </si>
  <si>
    <t xml:space="preserve">The fee from the originator, tracked like any other income</t>
  </si>
  <si>
    <t xml:space="preserve">P01</t>
  </si>
  <si>
    <t xml:space="preserve">Documents &amp; signature</t>
  </si>
  <si>
    <t xml:space="preserve">Document storage with access control</t>
  </si>
  <si>
    <t xml:space="preserve">Right people, right documents, signed URLs that expire</t>
  </si>
  <si>
    <t xml:space="preserve">3 private buckets; /documents route 404s</t>
  </si>
  <si>
    <t xml:space="preserve">P02</t>
  </si>
  <si>
    <t xml:space="preserve">Template-driven generation</t>
  </si>
  <si>
    <t xml:space="preserve">Thirteen masters, filled from the record, correct every time</t>
  </si>
  <si>
    <t xml:space="preserve">plan 007 — templates arrived 2026-08-04</t>
  </si>
  <si>
    <t xml:space="preserve">P03</t>
  </si>
  <si>
    <t xml:space="preserve">Versioned drafts</t>
  </si>
  <si>
    <t xml:space="preserve">Draft, revised, final — with who changed what</t>
  </si>
  <si>
    <t xml:space="preserve">document_draft in 0065</t>
  </si>
  <si>
    <t xml:space="preserve">P04</t>
  </si>
  <si>
    <t xml:space="preserve">E-signature</t>
  </si>
  <si>
    <t xml:space="preserve">Signed remotely, legally, without a scanner</t>
  </si>
  <si>
    <t xml:space="preserve">P05</t>
  </si>
  <si>
    <t xml:space="preserve">Signed-document register per deal</t>
  </si>
  <si>
    <t xml:space="preserve">Everything executed on this transaction, in one place</t>
  </si>
  <si>
    <t xml:space="preserve">P06</t>
  </si>
  <si>
    <t xml:space="preserve">Document expiry tracking</t>
  </si>
  <si>
    <t xml:space="preserve">Certificates, FFCs, mandates — all with a clock on them</t>
  </si>
  <si>
    <t xml:space="preserve">FFC and mandate only</t>
  </si>
  <si>
    <t xml:space="preserve">P07</t>
  </si>
  <si>
    <t xml:space="preserve">Audit trail on every change</t>
  </si>
  <si>
    <t xml:space="preserve">Field-level before and after, with the user's name</t>
  </si>
  <si>
    <t xml:space="preserve">audit_log written from one file only</t>
  </si>
  <si>
    <t xml:space="preserve">P08</t>
  </si>
  <si>
    <t xml:space="preserve">Separate compliance store</t>
  </si>
  <si>
    <t xml:space="preserve">FICA documents walled off from general files</t>
  </si>
  <si>
    <t xml:space="preserve">admin-only fica bucket</t>
  </si>
  <si>
    <t xml:space="preserve">F01</t>
  </si>
  <si>
    <t xml:space="preserve">Compliance — FICA, POPIA, PPRA</t>
  </si>
  <si>
    <t xml:space="preserve">FICA / KYC capture</t>
  </si>
  <si>
    <t xml:space="preserve">ID, proof of address, source of funds, on the file</t>
  </si>
  <si>
    <t xml:space="preserve">fica table + status badge + gap tracking</t>
  </si>
  <si>
    <t xml:space="preserve">F02</t>
  </si>
  <si>
    <t xml:space="preserve">Live ID, PEP &amp; sanctions screening</t>
  </si>
  <si>
    <t xml:space="preserve">Verified against a real source, not eyeballed</t>
  </si>
  <si>
    <t xml:space="preserve">Entegral Vault: R14.99 an ID check, pay-as-you-go</t>
  </si>
  <si>
    <t xml:space="preserve">F03</t>
  </si>
  <si>
    <t xml:space="preserve">Risk rating per client</t>
  </si>
  <si>
    <t xml:space="preserve">The RMCP's risk categories applied automatically</t>
  </si>
  <si>
    <t xml:space="preserve">F04</t>
  </si>
  <si>
    <t xml:space="preserve">FICA gaps against live deals</t>
  </si>
  <si>
    <t xml:space="preserve">Which running transactions are missing paperwork, today</t>
  </si>
  <si>
    <t xml:space="preserve">/compliance</t>
  </si>
  <si>
    <t xml:space="preserve">F05</t>
  </si>
  <si>
    <t xml:space="preserve">POPIA consent capture</t>
  </si>
  <si>
    <t xml:space="preserve">Recorded consent, per purpose, per contact</t>
  </si>
  <si>
    <t xml:space="preserve">consent table since 0004 — nothing has ever written to it</t>
  </si>
  <si>
    <t xml:space="preserve">F06</t>
  </si>
  <si>
    <t xml:space="preserve">Consent-aware suppression</t>
  </si>
  <si>
    <t xml:space="preserve">Nobody gets marketed to who said no</t>
  </si>
  <si>
    <t xml:space="preserve">contact_point_suppression, unwired</t>
  </si>
  <si>
    <t xml:space="preserve">F07</t>
  </si>
  <si>
    <t xml:space="preserve">FFC on the practitioner record</t>
  </si>
  <si>
    <t xml:space="preserve">Number and expiry against each agent</t>
  </si>
  <si>
    <t xml:space="preserve">0051_agent_ffc_expiry — nobody else has this</t>
  </si>
  <si>
    <t xml:space="preserve">F08</t>
  </si>
  <si>
    <t xml:space="preserve">FFC expiry watchlist</t>
  </si>
  <si>
    <t xml:space="preserve">Warned before an agent becomes uncommissionable</t>
  </si>
  <si>
    <t xml:space="preserve">F09</t>
  </si>
  <si>
    <t xml:space="preserve">Data residency in a chosen region</t>
  </si>
  <si>
    <t xml:space="preserve">Where the personal data physically sits</t>
  </si>
  <si>
    <t xml:space="preserve">Supabase EU/Ireland, POPIA-motivated</t>
  </si>
  <si>
    <t xml:space="preserve">K01</t>
  </si>
  <si>
    <t xml:space="preserve">Communication</t>
  </si>
  <si>
    <t xml:space="preserve">Send email from the record</t>
  </si>
  <si>
    <t xml:space="preserve">Correspondence that lands back on the contact</t>
  </si>
  <si>
    <t xml:space="preserve">outbound is admin alerts only</t>
  </si>
  <si>
    <t xml:space="preserve">K02</t>
  </si>
  <si>
    <t xml:space="preserve">Inbound email parsed into records</t>
  </si>
  <si>
    <t xml:space="preserve">Enquiries become contacts without retyping</t>
  </si>
  <si>
    <t xml:space="preserve">Resend + LLM extraction, /inbox</t>
  </si>
  <si>
    <t xml:space="preserve">K03</t>
  </si>
  <si>
    <t xml:space="preserve">SMS from the record</t>
  </si>
  <si>
    <t xml:space="preserve">Two-way, threaded on the contact</t>
  </si>
  <si>
    <t xml:space="preserve">K04</t>
  </si>
  <si>
    <t xml:space="preserve">WhatsApp from the record</t>
  </si>
  <si>
    <t xml:space="preserve">How South Africans actually transact</t>
  </si>
  <si>
    <t xml:space="preserve">party.whatsapp is a field; no messaging</t>
  </si>
  <si>
    <t xml:space="preserve">K05</t>
  </si>
  <si>
    <t xml:space="preserve">Templates with merge fields</t>
  </si>
  <si>
    <t xml:space="preserve">Same message, right name, every time</t>
  </si>
  <si>
    <t xml:space="preserve">K06</t>
  </si>
  <si>
    <t xml:space="preserve">Bulk / campaign send</t>
  </si>
  <si>
    <t xml:space="preserve">New listing to the matched buyer list in one action</t>
  </si>
  <si>
    <t xml:space="preserve">campaign tables exist; gated on NCC registration</t>
  </si>
  <si>
    <t xml:space="preserve">K07</t>
  </si>
  <si>
    <t xml:space="preserve">Drip &amp; nurture sequences</t>
  </si>
  <si>
    <t xml:space="preserve">The 18-month seller who needs touching six times</t>
  </si>
  <si>
    <t xml:space="preserve">K08</t>
  </si>
  <si>
    <t xml:space="preserve">Call logging / dialer</t>
  </si>
  <si>
    <t xml:space="preserve">Calls on the record without writing them up</t>
  </si>
  <si>
    <t xml:space="preserve">K09</t>
  </si>
  <si>
    <t xml:space="preserve">Open &amp; click tracking</t>
  </si>
  <si>
    <t xml:space="preserve">Who actually read the mailer</t>
  </si>
  <si>
    <t xml:space="preserve">K10</t>
  </si>
  <si>
    <t xml:space="preserve">Task &amp; reminder engine</t>
  </si>
  <si>
    <t xml:space="preserve">Follow-ups that chase you, not the other way round</t>
  </si>
  <si>
    <t xml:space="preserve">watchlists only, no general task engine</t>
  </si>
  <si>
    <t xml:space="preserve">W01</t>
  </si>
  <si>
    <t xml:space="preserve">Marketing, portals &amp; web presence</t>
  </si>
  <si>
    <t xml:space="preserve">Push listings to Property24</t>
  </si>
  <si>
    <t xml:space="preserve">Our stock, out to the dominant SA portal, automatically</t>
  </si>
  <si>
    <t xml:space="preserve">we scrape P24 in; we publish nothing out</t>
  </si>
  <si>
    <t xml:space="preserve">W02</t>
  </si>
  <si>
    <t xml:space="preserve">Push listings to Private Property</t>
  </si>
  <si>
    <t xml:space="preserve">Second portal, same feed</t>
  </si>
  <si>
    <t xml:space="preserve">W03</t>
  </si>
  <si>
    <t xml:space="preserve">Free portal syndication</t>
  </si>
  <si>
    <t xml:space="preserve">MyProperty and friends, at no marketing cost</t>
  </si>
  <si>
    <t xml:space="preserve">Entegral Sync reaches 18 destinations from R219/50 listings</t>
  </si>
  <si>
    <t xml:space="preserve">W04</t>
  </si>
  <si>
    <t xml:space="preserve">Feed API others can consume</t>
  </si>
  <si>
    <t xml:space="preserve">Publish once, let anyone pull it</t>
  </si>
  <si>
    <t xml:space="preserve">2023 Competition Commission ruling forces free interop</t>
  </si>
  <si>
    <t xml:space="preserve">W05</t>
  </si>
  <si>
    <t xml:space="preserve">Agency website fed from the CRM</t>
  </si>
  <si>
    <t xml:space="preserve">dreamknysna.co.za updates itself when a listing changes</t>
  </si>
  <si>
    <t xml:space="preserve">no public route exists; middleware gates everything</t>
  </si>
  <si>
    <t xml:space="preserve">W06</t>
  </si>
  <si>
    <t xml:space="preserve">Public listing pages &amp; SEO</t>
  </si>
  <si>
    <t xml:space="preserve">A page per property that Google can find</t>
  </si>
  <si>
    <t xml:space="preserve">W07</t>
  </si>
  <si>
    <t xml:space="preserve">Social auto-posting &amp; paid ads</t>
  </si>
  <si>
    <t xml:space="preserve">Facebook and Instagram campaigns off the listing</t>
  </si>
  <si>
    <t xml:space="preserve">Flow does exactly this locally, as a layer</t>
  </si>
  <si>
    <t xml:space="preserve">W08</t>
  </si>
  <si>
    <t xml:space="preserve">Saved searches &amp; buyer alerts</t>
  </si>
  <si>
    <t xml:space="preserve">Buyers hear about matching stock before the portal shows it</t>
  </si>
  <si>
    <t xml:space="preserve">W09</t>
  </si>
  <si>
    <t xml:space="preserve">Landing pages for lead capture</t>
  </si>
  <si>
    <t xml:space="preserve">Valuation and area pages that collect names</t>
  </si>
  <si>
    <t xml:space="preserve">A01</t>
  </si>
  <si>
    <t xml:space="preserve">AI</t>
  </si>
  <si>
    <t xml:space="preserve">AI listing copy</t>
  </si>
  <si>
    <t xml:space="preserve">Description and headline drafted from the facts</t>
  </si>
  <si>
    <t xml:space="preserve">table stakes now — everyone ships it</t>
  </si>
  <si>
    <t xml:space="preserve">A02</t>
  </si>
  <si>
    <t xml:space="preserve">AI enquiry triage</t>
  </si>
  <si>
    <t xml:space="preserve">Read the mail, work out what it is, file it</t>
  </si>
  <si>
    <t xml:space="preserve">lib/intake LLM extraction — already ahead here</t>
  </si>
  <si>
    <t xml:space="preserve">A03</t>
  </si>
  <si>
    <t xml:space="preserve">AI follow-up agent</t>
  </si>
  <si>
    <t xml:space="preserve">Works the cold database while nobody is watching</t>
  </si>
  <si>
    <t xml:space="preserve">A04</t>
  </si>
  <si>
    <t xml:space="preserve">AI call answering &amp; summaries</t>
  </si>
  <si>
    <t xml:space="preserve">Missed calls answered, written up on the record</t>
  </si>
  <si>
    <t xml:space="preserve">A05</t>
  </si>
  <si>
    <t xml:space="preserve">Listing built from photos &amp; plans</t>
  </si>
  <si>
    <t xml:space="preserve">Upload the shoot, get a draft listing back</t>
  </si>
  <si>
    <t xml:space="preserve">A06</t>
  </si>
  <si>
    <t xml:space="preserve">Ask your own database in words</t>
  </si>
  <si>
    <t xml:space="preserve">"Sellers in Brenton who haven't been called since June"</t>
  </si>
  <si>
    <t xml:space="preserve">A07</t>
  </si>
  <si>
    <t xml:space="preserve">AI file &amp; compliance checking</t>
  </si>
  <si>
    <t xml:space="preserve">Flags what's missing before the deal stalls</t>
  </si>
  <si>
    <t xml:space="preserve">BoldTrail shipped ComplianceAI in Aug 2026</t>
  </si>
  <si>
    <t xml:space="preserve">A08</t>
  </si>
  <si>
    <t xml:space="preserve">Trained on the agency's voice</t>
  </si>
  <si>
    <t xml:space="preserve">Copy that sounds like Dream, not like software</t>
  </si>
  <si>
    <t xml:space="preserve">R01</t>
  </si>
  <si>
    <t xml:space="preserve">Reporting</t>
  </si>
  <si>
    <t xml:space="preserve">Operational dashboard</t>
  </si>
  <si>
    <t xml:space="preserve">What needs attention this morning</t>
  </si>
  <si>
    <t xml:space="preserve">/dashboard — operational, not financial</t>
  </si>
  <si>
    <t xml:space="preserve">R02</t>
  </si>
  <si>
    <t xml:space="preserve">Agent performance</t>
  </si>
  <si>
    <t xml:space="preserve">Mandates taken, viewings run, deals closed, per agent</t>
  </si>
  <si>
    <t xml:space="preserve">named and deferred in the original roadmap</t>
  </si>
  <si>
    <t xml:space="preserve">R03</t>
  </si>
  <si>
    <t xml:space="preserve">Commission &amp; revenue reporting</t>
  </si>
  <si>
    <t xml:space="preserve">What we earned, and what's still to land</t>
  </si>
  <si>
    <t xml:space="preserve">R04</t>
  </si>
  <si>
    <t xml:space="preserve">Lead source ROI</t>
  </si>
  <si>
    <t xml:space="preserve">Which portal actually pays for itself</t>
  </si>
  <si>
    <t xml:space="preserve">R05</t>
  </si>
  <si>
    <t xml:space="preserve">Custom report builder</t>
  </si>
  <si>
    <t xml:space="preserve">New question answered without a developer</t>
  </si>
  <si>
    <t xml:space="preserve">R06</t>
  </si>
  <si>
    <t xml:space="preserve">Scheduled reports by email</t>
  </si>
  <si>
    <t xml:space="preserve">Monday numbers arrive on Monday</t>
  </si>
  <si>
    <t xml:space="preserve">R07</t>
  </si>
  <si>
    <t xml:space="preserve">CSV / spreadsheet export</t>
  </si>
  <si>
    <t xml:space="preserve">Get the data out, for the accountant or the auditor</t>
  </si>
  <si>
    <t xml:space="preserve">no export code anywhere in the app</t>
  </si>
  <si>
    <t xml:space="preserve">X01</t>
  </si>
  <si>
    <t xml:space="preserve">Platform</t>
  </si>
  <si>
    <t xml:space="preserve">Role-based permissions</t>
  </si>
  <si>
    <t xml:space="preserve">Agents see their own, admin sees everything</t>
  </si>
  <si>
    <t xml:space="preserve">17 RLS policies; 2 of 4 roles live</t>
  </si>
  <si>
    <t xml:space="preserve">X02</t>
  </si>
  <si>
    <t xml:space="preserve">Conveyancer login</t>
  </si>
  <si>
    <t xml:space="preserve">The attorney works in the file instead of over email</t>
  </si>
  <si>
    <t xml:space="preserve">role reserved, not enabled</t>
  </si>
  <si>
    <t xml:space="preserve">X03</t>
  </si>
  <si>
    <t xml:space="preserve">Client login</t>
  </si>
  <si>
    <t xml:space="preserve">Buyers and sellers see their own transaction</t>
  </si>
  <si>
    <t xml:space="preserve">X04</t>
  </si>
  <si>
    <t xml:space="preserve">Multi-office</t>
  </si>
  <si>
    <t xml:space="preserve">More than one branch on one system</t>
  </si>
  <si>
    <t xml:space="preserve">n/a</t>
  </si>
  <si>
    <t xml:space="preserve">single-tenant by design today</t>
  </si>
  <si>
    <t xml:space="preserve">X05</t>
  </si>
  <si>
    <t xml:space="preserve">Mobile app</t>
  </si>
  <si>
    <t xml:space="preserve">Usable properly on a phone at a show house</t>
  </si>
  <si>
    <t xml:space="preserve">responsive web only, unverified</t>
  </si>
  <si>
    <t xml:space="preserve">X06</t>
  </si>
  <si>
    <t xml:space="preserve">Public / partner API</t>
  </si>
  <si>
    <t xml:space="preserve">Let other systems read and write our data</t>
  </si>
  <si>
    <t xml:space="preserve">internal /api routes only</t>
  </si>
  <si>
    <t xml:space="preserve">X07</t>
  </si>
  <si>
    <t xml:space="preserve">Automation connector</t>
  </si>
  <si>
    <t xml:space="preserve">Zapier or similar, for the glue nobody wants to build</t>
  </si>
  <si>
    <t xml:space="preserve">X08</t>
  </si>
  <si>
    <t xml:space="preserve">Published, predictable pricing</t>
  </si>
  <si>
    <t xml:space="preserve">What it costs, without a sales call</t>
  </si>
  <si>
    <t xml:space="preserve">Entegral is the only one that publishes a rate card</t>
  </si>
  <si>
    <t xml:space="preserve">Where the decisions stand</t>
  </si>
  <si>
    <t xml:space="preserve">These cells are formulas. They update as you fill in column K of the map.</t>
  </si>
  <si>
    <t xml:space="preserve">Rows</t>
  </si>
  <si>
    <t xml:space="preserve">Must have</t>
  </si>
  <si>
    <t xml:space="preserve">Nice to have</t>
  </si>
  <si>
    <t xml:space="preserve">Not for us</t>
  </si>
  <si>
    <t xml:space="preserve">Still undecided</t>
  </si>
  <si>
    <t xml:space="preserve">Total capabilities</t>
  </si>
  <si>
    <t xml:space="preserve">By area</t>
  </si>
  <si>
    <t xml:space="preserve">Dream OS built</t>
  </si>
  <si>
    <t xml:space="preserve">Dream OS not yet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</si>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</sst>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6E63"/>
      <name val="Arial"/>
      <family val="0"/>
      <charset val="1"/>
    </font>
    <font>
      <sz val="11"/>
      <color rgb="FF8D9995"/>
      <name val="Arial"/>
      <family val="0"/>
      <charset val="1"/>
    </font>
    <font>
      <sz val="11"/>
      <color rgb="FF14201E"/>
      <name val="Arial"/>
      <family val="0"/>
      <charset val="1"/>
    </font>
    <font>
      <b val="true"/>
      <sz val="12"/>
      <color rgb="FF14201E"/>
      <name val="Arial"/>
      <family val="0"/>
      <charset val="1"/>
    </font>
    <font>
      <b val="true"/>
      <sz val="10"/>
      <color rgb="FF14201E"/>
      <name val="Arial"/>
      <family val="0"/>
      <charset val="1"/>
    </font>
    <font>
      <sz val="9"/>
      <color rgb="FF8D9995"/>
      <name val="Arial"/>
      <family val="0"/>
      <charset val="1"/>
    </font>
    <font>
      <sz val="10"/>
      <color rgb="FF14201E"/>
      <name val="Arial"/>
      <family val="0"/>
      <charset val="1"/>
    </font>
    <font>
      <sz val="9"/>
      <color rgb="FF596763"/>
      <name val="Arial"/>
      <family val="0"/>
      <charset val="1"/>
    </font>
    <font>
      <i val="true"/>
      <sz val="9"/>
      <color rgb="FF596763"/>
      <name val="Arial"/>
      <family val="0"/>
      <charset val="1"/>
    </font>
    <font>
      <b val="true"/>
      <sz val="14"/>
      <color rgb="FF0E6E63"/>
      <name val="Arial"/>
      <family val="0"/>
      <charset val="1"/>
    </font>
    <font>
      <b val="true"/>
      <sz val="12"/>
      <color rgb="FF0E6E6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F1EE"/>
        <bgColor rgb="FFDCEBE7"/>
      </patternFill>
    </fill>
    <fill>
      <patternFill patternType="solid">
        <fgColor rgb="FFFFF9E3"/>
        <bgColor rgb="FFEDF1E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E6E63"/>
      </bottom>
      <diagonal/>
    </border>
    <border diagonalUp="false" diagonalDown="false">
      <left/>
      <right/>
      <top/>
      <bottom style="thin">
        <color rgb="FFD9DF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EDF1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4201E"/>
          <bgColor rgb="FF000000"/>
        </patternFill>
      </fill>
    </dxf>
    <dxf>
      <fill>
        <patternFill patternType="solid">
          <fgColor rgb="FF8D9995"/>
          <bgColor rgb="FF000000"/>
        </patternFill>
      </fill>
    </dxf>
    <dxf>
      <fill>
        <patternFill patternType="solid">
          <fgColor rgb="FF596763"/>
          <bgColor rgb="FF000000"/>
        </patternFill>
      </fill>
    </dxf>
    <dxf>
      <fill>
        <patternFill patternType="solid">
          <fgColor rgb="FF0E6E63"/>
          <bgColor rgb="FF000000"/>
        </patternFill>
      </fill>
    </dxf>
    <dxf>
      <fill>
        <patternFill patternType="solid">
          <fgColor rgb="FFB7C0BC"/>
          <bgColor rgb="FF000000"/>
        </patternFill>
      </fill>
    </dxf>
    <dxf>
      <fill>
        <patternFill patternType="solid">
          <fgColor rgb="FFDCEBE7"/>
          <bgColor rgb="FF000000"/>
        </patternFill>
      </fill>
    </dxf>
    <dxf>
      <fill>
        <patternFill patternType="solid">
          <fgColor rgb="FF0A544B"/>
          <bgColor rgb="FF000000"/>
        </patternFill>
      </fill>
    </dxf>
    <dxf>
      <fill>
        <patternFill patternType="solid">
          <fgColor rgb="FFFFF9E3"/>
          <bgColor rgb="FF000000"/>
        </patternFill>
      </fill>
    </dxf>
    <dxf>
      <font>
        <name val="Arial"/>
        <charset val="1"/>
        <family val="0"/>
        <b val="1"/>
        <color rgb="FF0A544B"/>
        <sz val="10"/>
      </font>
      <fill>
        <patternFill>
          <bgColor rgb="FFDCEBE7"/>
        </patternFill>
      </fill>
    </dxf>
    <dxf>
      <font>
        <name val="Arial"/>
        <charset val="1"/>
        <family val="0"/>
        <color rgb="FF96661A"/>
        <sz val="10"/>
      </font>
      <fill>
        <patternFill>
          <bgColor rgb="FFF3E7D2"/>
        </patternFill>
      </fill>
    </dxf>
    <dxf>
      <font>
        <name val="Arial"/>
        <charset val="1"/>
        <family val="0"/>
        <color rgb="FF8D9995"/>
        <sz val="10"/>
      </font>
      <fill>
        <patternFill>
          <bgColor rgb="FFEDF1EE"/>
        </patternFill>
      </fill>
    </dxf>
    <dxf>
      <font>
        <name val="Arial"/>
        <charset val="1"/>
        <family val="0"/>
        <b val="1"/>
        <color rgb="FF0E6E63"/>
        <sz val="10"/>
      </font>
    </dxf>
    <dxf>
      <font>
        <name val="Arial"/>
        <charset val="1"/>
        <family val="0"/>
        <color rgb="FFB7C0BC"/>
        <sz val="10"/>
      </font>
    </dxf>
    <dxf>
      <font>
        <name val="Arial"/>
        <charset val="1"/>
        <family val="0"/>
        <color rgb="FF0A544B"/>
        <sz val="10"/>
      </font>
      <fill>
        <patternFill>
          <bgColor rgb="FFDCEBE7"/>
        </patternFill>
      </fill>
    </dxf>
  </dxfs>
  <colors>
    <indexedColors>
      <rgbColor rgb="FF000000"/>
      <rgbColor rgb="FFEDF1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6661A"/>
      <rgbColor rgb="FF800080"/>
      <rgbColor rgb="FF0E6E63"/>
      <rgbColor rgb="FFB7C0BC"/>
      <rgbColor rgb="FF808080"/>
      <rgbColor rgb="FF9999FF"/>
      <rgbColor rgb="FF993366"/>
      <rgbColor rgb="FFFFF9E3"/>
      <rgbColor rgb="FFDCEBE7"/>
      <rgbColor rgb="FF660066"/>
      <rgbColor rgb="FFFF8080"/>
      <rgbColor rgb="FF0066CC"/>
      <rgbColor rgb="FFD9DF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7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763"/>
      <rgbColor rgb="FF8D9995"/>
      <rgbColor rgb="FF0A544B"/>
      <rgbColor rgb="FF339966"/>
      <rgbColor rgb="FF14201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4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19</v>
      </c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 t="s">
        <v>21</v>
      </c>
    </row>
    <row r="29" customFormat="false" ht="15" hidden="false" customHeight="false" outlineLevel="0" collapsed="false">
      <c r="A29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4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17</v>
      </c>
      <c r="J1" s="5" t="s">
        <v>31</v>
      </c>
      <c r="K1" s="5" t="s">
        <v>32</v>
      </c>
      <c r="L1" s="5" t="s">
        <v>33</v>
      </c>
    </row>
    <row r="2" customFormat="false" ht="22.35" hidden="false" customHeight="false" outlineLevel="0" collapsed="false">
      <c r="A2" s="6" t="s">
        <v>34</v>
      </c>
      <c r="B2" s="7" t="s">
        <v>35</v>
      </c>
      <c r="C2" s="8" t="s">
        <v>36</v>
      </c>
      <c r="D2" s="9" t="s">
        <v>37</v>
      </c>
      <c r="E2" s="10" t="s">
        <v>38</v>
      </c>
      <c r="F2" s="10" t="s">
        <v>38</v>
      </c>
      <c r="G2" s="10" t="s">
        <v>38</v>
      </c>
      <c r="H2" s="10" t="s">
        <v>38</v>
      </c>
      <c r="I2" s="10" t="s">
        <v>39</v>
      </c>
      <c r="J2" s="11" t="s">
        <v>40</v>
      </c>
      <c r="K2" s="12"/>
      <c r="L2" s="13"/>
    </row>
    <row r="3" customFormat="false" ht="22.35" hidden="false" customHeight="false" outlineLevel="0" collapsed="false">
      <c r="A3" s="6" t="s">
        <v>41</v>
      </c>
      <c r="B3" s="7" t="s">
        <v>35</v>
      </c>
      <c r="C3" s="8" t="s">
        <v>42</v>
      </c>
      <c r="D3" s="9" t="s">
        <v>43</v>
      </c>
      <c r="E3" s="10" t="s">
        <v>38</v>
      </c>
      <c r="F3" s="10" t="s">
        <v>38</v>
      </c>
      <c r="G3" s="10" t="s">
        <v>38</v>
      </c>
      <c r="H3" s="10" t="s">
        <v>38</v>
      </c>
      <c r="I3" s="10" t="s">
        <v>44</v>
      </c>
      <c r="J3" s="11" t="s">
        <v>45</v>
      </c>
      <c r="K3" s="12"/>
      <c r="L3" s="13"/>
    </row>
    <row r="4" customFormat="false" ht="15" hidden="false" customHeight="false" outlineLevel="0" collapsed="false">
      <c r="A4" s="6" t="s">
        <v>46</v>
      </c>
      <c r="B4" s="7" t="s">
        <v>35</v>
      </c>
      <c r="C4" s="8" t="s">
        <v>47</v>
      </c>
      <c r="D4" s="9" t="s">
        <v>48</v>
      </c>
      <c r="E4" s="10" t="s">
        <v>38</v>
      </c>
      <c r="F4" s="10" t="s">
        <v>38</v>
      </c>
      <c r="G4" s="10" t="s">
        <v>38</v>
      </c>
      <c r="H4" s="10" t="s">
        <v>38</v>
      </c>
      <c r="I4" s="10" t="s">
        <v>49</v>
      </c>
      <c r="J4" s="11"/>
      <c r="K4" s="12"/>
      <c r="L4" s="13"/>
    </row>
    <row r="5" customFormat="false" ht="15" hidden="false" customHeight="false" outlineLevel="0" collapsed="false">
      <c r="A5" s="6" t="s">
        <v>50</v>
      </c>
      <c r="B5" s="7" t="s">
        <v>35</v>
      </c>
      <c r="C5" s="8" t="s">
        <v>51</v>
      </c>
      <c r="D5" s="9" t="s">
        <v>52</v>
      </c>
      <c r="E5" s="10" t="s">
        <v>53</v>
      </c>
      <c r="F5" s="10" t="s">
        <v>38</v>
      </c>
      <c r="G5" s="10" t="s">
        <v>38</v>
      </c>
      <c r="H5" s="10" t="s">
        <v>38</v>
      </c>
      <c r="I5" s="10" t="s">
        <v>49</v>
      </c>
      <c r="J5" s="11"/>
      <c r="K5" s="12"/>
      <c r="L5" s="13"/>
    </row>
    <row r="6" customFormat="false" ht="22.35" hidden="false" customHeight="false" outlineLevel="0" collapsed="false">
      <c r="A6" s="6" t="s">
        <v>54</v>
      </c>
      <c r="B6" s="7" t="s">
        <v>35</v>
      </c>
      <c r="C6" s="8" t="s">
        <v>55</v>
      </c>
      <c r="D6" s="9" t="s">
        <v>56</v>
      </c>
      <c r="E6" s="10" t="s">
        <v>38</v>
      </c>
      <c r="F6" s="10" t="s">
        <v>38</v>
      </c>
      <c r="G6" s="10" t="s">
        <v>38</v>
      </c>
      <c r="H6" s="10" t="s">
        <v>38</v>
      </c>
      <c r="I6" s="10" t="s">
        <v>53</v>
      </c>
      <c r="J6" s="11" t="s">
        <v>57</v>
      </c>
      <c r="K6" s="12"/>
      <c r="L6" s="13"/>
    </row>
    <row r="7" customFormat="false" ht="15" hidden="false" customHeight="false" outlineLevel="0" collapsed="false">
      <c r="A7" s="6" t="s">
        <v>58</v>
      </c>
      <c r="B7" s="7" t="s">
        <v>35</v>
      </c>
      <c r="C7" s="8" t="s">
        <v>59</v>
      </c>
      <c r="D7" s="9" t="s">
        <v>60</v>
      </c>
      <c r="E7" s="10" t="s">
        <v>38</v>
      </c>
      <c r="F7" s="10" t="s">
        <v>53</v>
      </c>
      <c r="G7" s="10" t="s">
        <v>38</v>
      </c>
      <c r="H7" s="10" t="s">
        <v>38</v>
      </c>
      <c r="I7" s="10" t="s">
        <v>44</v>
      </c>
      <c r="J7" s="11" t="s">
        <v>61</v>
      </c>
      <c r="K7" s="12"/>
      <c r="L7" s="13"/>
    </row>
    <row r="8" customFormat="false" ht="22.35" hidden="false" customHeight="false" outlineLevel="0" collapsed="false">
      <c r="A8" s="6" t="s">
        <v>62</v>
      </c>
      <c r="B8" s="7" t="s">
        <v>35</v>
      </c>
      <c r="C8" s="8" t="s">
        <v>63</v>
      </c>
      <c r="D8" s="9" t="s">
        <v>64</v>
      </c>
      <c r="E8" s="10" t="s">
        <v>38</v>
      </c>
      <c r="F8" s="10" t="s">
        <v>53</v>
      </c>
      <c r="G8" s="10" t="s">
        <v>38</v>
      </c>
      <c r="H8" s="10" t="s">
        <v>53</v>
      </c>
      <c r="I8" s="10" t="s">
        <v>49</v>
      </c>
      <c r="J8" s="11"/>
      <c r="K8" s="12"/>
      <c r="L8" s="13"/>
    </row>
    <row r="9" customFormat="false" ht="15" hidden="false" customHeight="false" outlineLevel="0" collapsed="false">
      <c r="A9" s="6" t="s">
        <v>65</v>
      </c>
      <c r="B9" s="7" t="s">
        <v>35</v>
      </c>
      <c r="C9" s="8" t="s">
        <v>66</v>
      </c>
      <c r="D9" s="9" t="s">
        <v>67</v>
      </c>
      <c r="E9" s="10" t="s">
        <v>38</v>
      </c>
      <c r="F9" s="10" t="s">
        <v>68</v>
      </c>
      <c r="G9" s="10" t="s">
        <v>53</v>
      </c>
      <c r="H9" s="10" t="s">
        <v>69</v>
      </c>
      <c r="I9" s="10" t="s">
        <v>49</v>
      </c>
      <c r="J9" s="11"/>
      <c r="K9" s="12"/>
      <c r="L9" s="13"/>
    </row>
    <row r="10" customFormat="false" ht="15" hidden="false" customHeight="false" outlineLevel="0" collapsed="false">
      <c r="A10" s="6" t="s">
        <v>70</v>
      </c>
      <c r="B10" s="7" t="s">
        <v>35</v>
      </c>
      <c r="C10" s="8" t="s">
        <v>71</v>
      </c>
      <c r="D10" s="9" t="s">
        <v>72</v>
      </c>
      <c r="E10" s="10" t="s">
        <v>53</v>
      </c>
      <c r="F10" s="10" t="s">
        <v>53</v>
      </c>
      <c r="G10" s="10" t="s">
        <v>53</v>
      </c>
      <c r="H10" s="10" t="s">
        <v>68</v>
      </c>
      <c r="I10" s="10" t="s">
        <v>39</v>
      </c>
      <c r="J10" s="11" t="s">
        <v>73</v>
      </c>
      <c r="K10" s="12"/>
      <c r="L10" s="13"/>
    </row>
    <row r="11" customFormat="false" ht="15" hidden="false" customHeight="false" outlineLevel="0" collapsed="false">
      <c r="A11" s="6" t="s">
        <v>74</v>
      </c>
      <c r="B11" s="7" t="s">
        <v>35</v>
      </c>
      <c r="C11" s="8" t="s">
        <v>75</v>
      </c>
      <c r="D11" s="9" t="s">
        <v>76</v>
      </c>
      <c r="E11" s="10" t="s">
        <v>38</v>
      </c>
      <c r="F11" s="10" t="s">
        <v>38</v>
      </c>
      <c r="G11" s="10" t="s">
        <v>38</v>
      </c>
      <c r="H11" s="10" t="s">
        <v>38</v>
      </c>
      <c r="I11" s="10" t="s">
        <v>39</v>
      </c>
      <c r="J11" s="11"/>
      <c r="K11" s="12"/>
      <c r="L11" s="13"/>
    </row>
    <row r="12" customFormat="false" ht="15" hidden="false" customHeight="false" outlineLevel="0" collapsed="false">
      <c r="A12" s="6" t="s">
        <v>77</v>
      </c>
      <c r="B12" s="7" t="s">
        <v>78</v>
      </c>
      <c r="C12" s="8" t="s">
        <v>79</v>
      </c>
      <c r="D12" s="9" t="s">
        <v>80</v>
      </c>
      <c r="E12" s="10" t="s">
        <v>38</v>
      </c>
      <c r="F12" s="10" t="s">
        <v>38</v>
      </c>
      <c r="G12" s="10" t="s">
        <v>38</v>
      </c>
      <c r="H12" s="10" t="s">
        <v>38</v>
      </c>
      <c r="I12" s="10" t="s">
        <v>39</v>
      </c>
      <c r="J12" s="11"/>
      <c r="K12" s="12"/>
      <c r="L12" s="13"/>
    </row>
    <row r="13" customFormat="false" ht="22.35" hidden="false" customHeight="false" outlineLevel="0" collapsed="false">
      <c r="A13" s="6" t="s">
        <v>81</v>
      </c>
      <c r="B13" s="7" t="s">
        <v>78</v>
      </c>
      <c r="C13" s="8" t="s">
        <v>82</v>
      </c>
      <c r="D13" s="9" t="s">
        <v>83</v>
      </c>
      <c r="E13" s="10" t="s">
        <v>69</v>
      </c>
      <c r="F13" s="10" t="s">
        <v>53</v>
      </c>
      <c r="G13" s="10" t="s">
        <v>53</v>
      </c>
      <c r="H13" s="10" t="s">
        <v>53</v>
      </c>
      <c r="I13" s="10" t="s">
        <v>39</v>
      </c>
      <c r="J13" s="11" t="s">
        <v>84</v>
      </c>
      <c r="K13" s="12"/>
      <c r="L13" s="13"/>
    </row>
    <row r="14" customFormat="false" ht="15" hidden="false" customHeight="false" outlineLevel="0" collapsed="false">
      <c r="A14" s="6" t="s">
        <v>85</v>
      </c>
      <c r="B14" s="7" t="s">
        <v>78</v>
      </c>
      <c r="C14" s="8" t="s">
        <v>86</v>
      </c>
      <c r="D14" s="9" t="s">
        <v>87</v>
      </c>
      <c r="E14" s="10" t="s">
        <v>69</v>
      </c>
      <c r="F14" s="10" t="s">
        <v>69</v>
      </c>
      <c r="G14" s="10" t="s">
        <v>69</v>
      </c>
      <c r="H14" s="10" t="s">
        <v>69</v>
      </c>
      <c r="I14" s="10" t="s">
        <v>39</v>
      </c>
      <c r="J14" s="11" t="s">
        <v>88</v>
      </c>
      <c r="K14" s="12"/>
      <c r="L14" s="13"/>
    </row>
    <row r="15" customFormat="false" ht="15" hidden="false" customHeight="false" outlineLevel="0" collapsed="false">
      <c r="A15" s="6" t="s">
        <v>89</v>
      </c>
      <c r="B15" s="7" t="s">
        <v>78</v>
      </c>
      <c r="C15" s="8" t="s">
        <v>90</v>
      </c>
      <c r="D15" s="9" t="s">
        <v>91</v>
      </c>
      <c r="E15" s="10" t="s">
        <v>53</v>
      </c>
      <c r="F15" s="10" t="s">
        <v>53</v>
      </c>
      <c r="G15" s="10" t="s">
        <v>53</v>
      </c>
      <c r="H15" s="10" t="s">
        <v>53</v>
      </c>
      <c r="I15" s="10" t="s">
        <v>39</v>
      </c>
      <c r="J15" s="11" t="s">
        <v>92</v>
      </c>
      <c r="K15" s="12"/>
      <c r="L15" s="13"/>
    </row>
    <row r="16" customFormat="false" ht="22.35" hidden="false" customHeight="false" outlineLevel="0" collapsed="false">
      <c r="A16" s="6" t="s">
        <v>93</v>
      </c>
      <c r="B16" s="7" t="s">
        <v>78</v>
      </c>
      <c r="C16" s="8" t="s">
        <v>94</v>
      </c>
      <c r="D16" s="9" t="s">
        <v>95</v>
      </c>
      <c r="E16" s="10" t="s">
        <v>69</v>
      </c>
      <c r="F16" s="10" t="s">
        <v>69</v>
      </c>
      <c r="G16" s="10" t="s">
        <v>69</v>
      </c>
      <c r="H16" s="10" t="s">
        <v>69</v>
      </c>
      <c r="I16" s="10" t="s">
        <v>39</v>
      </c>
      <c r="J16" s="11" t="s">
        <v>96</v>
      </c>
      <c r="K16" s="12"/>
      <c r="L16" s="13"/>
    </row>
    <row r="17" customFormat="false" ht="22.35" hidden="false" customHeight="false" outlineLevel="0" collapsed="false">
      <c r="A17" s="6" t="s">
        <v>97</v>
      </c>
      <c r="B17" s="7" t="s">
        <v>78</v>
      </c>
      <c r="C17" s="8" t="s">
        <v>98</v>
      </c>
      <c r="D17" s="9" t="s">
        <v>99</v>
      </c>
      <c r="E17" s="10" t="s">
        <v>53</v>
      </c>
      <c r="F17" s="10" t="s">
        <v>53</v>
      </c>
      <c r="G17" s="10" t="s">
        <v>53</v>
      </c>
      <c r="H17" s="10" t="s">
        <v>53</v>
      </c>
      <c r="I17" s="10" t="s">
        <v>39</v>
      </c>
      <c r="J17" s="11" t="s">
        <v>100</v>
      </c>
      <c r="K17" s="12"/>
      <c r="L17" s="13"/>
    </row>
    <row r="18" customFormat="false" ht="22.35" hidden="false" customHeight="false" outlineLevel="0" collapsed="false">
      <c r="A18" s="6" t="s">
        <v>101</v>
      </c>
      <c r="B18" s="7" t="s">
        <v>78</v>
      </c>
      <c r="C18" s="8" t="s">
        <v>102</v>
      </c>
      <c r="D18" s="9" t="s">
        <v>103</v>
      </c>
      <c r="E18" s="10" t="s">
        <v>53</v>
      </c>
      <c r="F18" s="10" t="s">
        <v>69</v>
      </c>
      <c r="G18" s="10" t="s">
        <v>69</v>
      </c>
      <c r="H18" s="10" t="s">
        <v>69</v>
      </c>
      <c r="I18" s="10" t="s">
        <v>39</v>
      </c>
      <c r="J18" s="11" t="s">
        <v>104</v>
      </c>
      <c r="K18" s="12"/>
      <c r="L18" s="13"/>
    </row>
    <row r="19" customFormat="false" ht="15" hidden="false" customHeight="false" outlineLevel="0" collapsed="false">
      <c r="A19" s="6" t="s">
        <v>105</v>
      </c>
      <c r="B19" s="7" t="s">
        <v>78</v>
      </c>
      <c r="C19" s="8" t="s">
        <v>106</v>
      </c>
      <c r="D19" s="9" t="s">
        <v>107</v>
      </c>
      <c r="E19" s="10" t="s">
        <v>38</v>
      </c>
      <c r="F19" s="10" t="s">
        <v>38</v>
      </c>
      <c r="G19" s="10" t="s">
        <v>38</v>
      </c>
      <c r="H19" s="10" t="s">
        <v>38</v>
      </c>
      <c r="I19" s="10" t="s">
        <v>39</v>
      </c>
      <c r="J19" s="11" t="s">
        <v>108</v>
      </c>
      <c r="K19" s="12"/>
      <c r="L19" s="13"/>
    </row>
    <row r="20" customFormat="false" ht="15" hidden="false" customHeight="false" outlineLevel="0" collapsed="false">
      <c r="A20" s="6" t="s">
        <v>109</v>
      </c>
      <c r="B20" s="7" t="s">
        <v>78</v>
      </c>
      <c r="C20" s="8" t="s">
        <v>110</v>
      </c>
      <c r="D20" s="9" t="s">
        <v>111</v>
      </c>
      <c r="E20" s="10" t="s">
        <v>38</v>
      </c>
      <c r="F20" s="10" t="s">
        <v>38</v>
      </c>
      <c r="G20" s="10" t="s">
        <v>38</v>
      </c>
      <c r="H20" s="10" t="s">
        <v>68</v>
      </c>
      <c r="I20" s="10" t="s">
        <v>49</v>
      </c>
      <c r="J20" s="11"/>
      <c r="K20" s="12"/>
      <c r="L20" s="13"/>
    </row>
    <row r="21" customFormat="false" ht="15" hidden="false" customHeight="false" outlineLevel="0" collapsed="false">
      <c r="A21" s="6" t="s">
        <v>112</v>
      </c>
      <c r="B21" s="7" t="s">
        <v>78</v>
      </c>
      <c r="C21" s="8" t="s">
        <v>113</v>
      </c>
      <c r="D21" s="9" t="s">
        <v>114</v>
      </c>
      <c r="E21" s="10" t="s">
        <v>38</v>
      </c>
      <c r="F21" s="10" t="s">
        <v>53</v>
      </c>
      <c r="G21" s="10" t="s">
        <v>38</v>
      </c>
      <c r="H21" s="10" t="s">
        <v>38</v>
      </c>
      <c r="I21" s="10" t="s">
        <v>49</v>
      </c>
      <c r="J21" s="11"/>
      <c r="K21" s="12"/>
      <c r="L21" s="13"/>
    </row>
    <row r="22" customFormat="false" ht="15" hidden="false" customHeight="false" outlineLevel="0" collapsed="false">
      <c r="A22" s="6" t="s">
        <v>115</v>
      </c>
      <c r="B22" s="7" t="s">
        <v>78</v>
      </c>
      <c r="C22" s="8" t="s">
        <v>116</v>
      </c>
      <c r="D22" s="9" t="s">
        <v>117</v>
      </c>
      <c r="E22" s="10" t="s">
        <v>38</v>
      </c>
      <c r="F22" s="10" t="s">
        <v>38</v>
      </c>
      <c r="G22" s="10" t="s">
        <v>38</v>
      </c>
      <c r="H22" s="10" t="s">
        <v>38</v>
      </c>
      <c r="I22" s="10" t="s">
        <v>49</v>
      </c>
      <c r="J22" s="11"/>
      <c r="K22" s="12"/>
      <c r="L22" s="13"/>
    </row>
    <row r="23" customFormat="false" ht="15" hidden="false" customHeight="false" outlineLevel="0" collapsed="false">
      <c r="A23" s="6" t="s">
        <v>118</v>
      </c>
      <c r="B23" s="7" t="s">
        <v>78</v>
      </c>
      <c r="C23" s="8" t="s">
        <v>119</v>
      </c>
      <c r="D23" s="9" t="s">
        <v>120</v>
      </c>
      <c r="E23" s="10" t="s">
        <v>38</v>
      </c>
      <c r="F23" s="10" t="s">
        <v>38</v>
      </c>
      <c r="G23" s="10" t="s">
        <v>38</v>
      </c>
      <c r="H23" s="10" t="s">
        <v>53</v>
      </c>
      <c r="I23" s="10" t="s">
        <v>39</v>
      </c>
      <c r="J23" s="11" t="s">
        <v>121</v>
      </c>
      <c r="K23" s="12"/>
      <c r="L23" s="13"/>
    </row>
    <row r="24" customFormat="false" ht="15" hidden="false" customHeight="false" outlineLevel="0" collapsed="false">
      <c r="A24" s="6" t="s">
        <v>122</v>
      </c>
      <c r="B24" s="7" t="s">
        <v>123</v>
      </c>
      <c r="C24" s="8" t="s">
        <v>124</v>
      </c>
      <c r="D24" s="9" t="s">
        <v>125</v>
      </c>
      <c r="E24" s="10" t="s">
        <v>69</v>
      </c>
      <c r="F24" s="10" t="s">
        <v>38</v>
      </c>
      <c r="G24" s="10" t="s">
        <v>38</v>
      </c>
      <c r="H24" s="10" t="s">
        <v>53</v>
      </c>
      <c r="I24" s="10" t="s">
        <v>39</v>
      </c>
      <c r="J24" s="11" t="s">
        <v>126</v>
      </c>
      <c r="K24" s="12"/>
      <c r="L24" s="13"/>
    </row>
    <row r="25" customFormat="false" ht="22.35" hidden="false" customHeight="false" outlineLevel="0" collapsed="false">
      <c r="A25" s="6" t="s">
        <v>127</v>
      </c>
      <c r="B25" s="7" t="s">
        <v>123</v>
      </c>
      <c r="C25" s="8" t="s">
        <v>128</v>
      </c>
      <c r="D25" s="9" t="s">
        <v>129</v>
      </c>
      <c r="E25" s="10" t="s">
        <v>69</v>
      </c>
      <c r="F25" s="10" t="s">
        <v>38</v>
      </c>
      <c r="G25" s="10" t="s">
        <v>38</v>
      </c>
      <c r="H25" s="10" t="s">
        <v>68</v>
      </c>
      <c r="I25" s="10" t="s">
        <v>53</v>
      </c>
      <c r="J25" s="11" t="s">
        <v>130</v>
      </c>
      <c r="K25" s="12"/>
      <c r="L25" s="13"/>
    </row>
    <row r="26" customFormat="false" ht="15" hidden="false" customHeight="false" outlineLevel="0" collapsed="false">
      <c r="A26" s="6" t="s">
        <v>131</v>
      </c>
      <c r="B26" s="7" t="s">
        <v>123</v>
      </c>
      <c r="C26" s="8" t="s">
        <v>132</v>
      </c>
      <c r="D26" s="9" t="s">
        <v>133</v>
      </c>
      <c r="E26" s="10" t="s">
        <v>69</v>
      </c>
      <c r="F26" s="10" t="s">
        <v>38</v>
      </c>
      <c r="G26" s="10" t="s">
        <v>38</v>
      </c>
      <c r="H26" s="10" t="s">
        <v>38</v>
      </c>
      <c r="I26" s="10" t="s">
        <v>39</v>
      </c>
      <c r="J26" s="11" t="s">
        <v>134</v>
      </c>
      <c r="K26" s="12"/>
      <c r="L26" s="13"/>
    </row>
    <row r="27" customFormat="false" ht="15" hidden="false" customHeight="false" outlineLevel="0" collapsed="false">
      <c r="A27" s="6" t="s">
        <v>135</v>
      </c>
      <c r="B27" s="7" t="s">
        <v>123</v>
      </c>
      <c r="C27" s="8" t="s">
        <v>136</v>
      </c>
      <c r="D27" s="9" t="s">
        <v>137</v>
      </c>
      <c r="E27" s="10" t="s">
        <v>69</v>
      </c>
      <c r="F27" s="10" t="s">
        <v>38</v>
      </c>
      <c r="G27" s="10" t="s">
        <v>38</v>
      </c>
      <c r="H27" s="10" t="s">
        <v>38</v>
      </c>
      <c r="I27" s="10" t="s">
        <v>39</v>
      </c>
      <c r="J27" s="11" t="s">
        <v>138</v>
      </c>
      <c r="K27" s="12"/>
      <c r="L27" s="13"/>
    </row>
    <row r="28" customFormat="false" ht="22.35" hidden="false" customHeight="false" outlineLevel="0" collapsed="false">
      <c r="A28" s="6" t="s">
        <v>139</v>
      </c>
      <c r="B28" s="7" t="s">
        <v>123</v>
      </c>
      <c r="C28" s="8" t="s">
        <v>140</v>
      </c>
      <c r="D28" s="9" t="s">
        <v>141</v>
      </c>
      <c r="E28" s="10" t="s">
        <v>53</v>
      </c>
      <c r="F28" s="10" t="s">
        <v>53</v>
      </c>
      <c r="G28" s="10" t="s">
        <v>53</v>
      </c>
      <c r="H28" s="10" t="s">
        <v>69</v>
      </c>
      <c r="I28" s="10" t="s">
        <v>53</v>
      </c>
      <c r="J28" s="11" t="s">
        <v>142</v>
      </c>
      <c r="K28" s="12"/>
      <c r="L28" s="13"/>
    </row>
    <row r="29" customFormat="false" ht="15" hidden="false" customHeight="false" outlineLevel="0" collapsed="false">
      <c r="A29" s="6" t="s">
        <v>143</v>
      </c>
      <c r="B29" s="7" t="s">
        <v>123</v>
      </c>
      <c r="C29" s="8" t="s">
        <v>144</v>
      </c>
      <c r="D29" s="9" t="s">
        <v>145</v>
      </c>
      <c r="E29" s="10" t="s">
        <v>69</v>
      </c>
      <c r="F29" s="10" t="s">
        <v>69</v>
      </c>
      <c r="G29" s="10" t="s">
        <v>69</v>
      </c>
      <c r="H29" s="10" t="s">
        <v>69</v>
      </c>
      <c r="I29" s="10" t="s">
        <v>44</v>
      </c>
      <c r="J29" s="11" t="s">
        <v>146</v>
      </c>
      <c r="K29" s="12"/>
      <c r="L29" s="13"/>
    </row>
    <row r="30" customFormat="false" ht="15" hidden="false" customHeight="false" outlineLevel="0" collapsed="false">
      <c r="A30" s="6" t="s">
        <v>147</v>
      </c>
      <c r="B30" s="7" t="s">
        <v>123</v>
      </c>
      <c r="C30" s="8" t="s">
        <v>148</v>
      </c>
      <c r="D30" s="9" t="s">
        <v>149</v>
      </c>
      <c r="E30" s="10" t="s">
        <v>38</v>
      </c>
      <c r="F30" s="10" t="s">
        <v>53</v>
      </c>
      <c r="G30" s="10" t="s">
        <v>53</v>
      </c>
      <c r="H30" s="10" t="s">
        <v>69</v>
      </c>
      <c r="I30" s="10" t="s">
        <v>49</v>
      </c>
      <c r="J30" s="11"/>
      <c r="K30" s="12"/>
      <c r="L30" s="13"/>
    </row>
    <row r="31" customFormat="false" ht="15" hidden="false" customHeight="false" outlineLevel="0" collapsed="false">
      <c r="A31" s="6" t="s">
        <v>150</v>
      </c>
      <c r="B31" s="7" t="s">
        <v>123</v>
      </c>
      <c r="C31" s="8" t="s">
        <v>151</v>
      </c>
      <c r="D31" s="9" t="s">
        <v>152</v>
      </c>
      <c r="E31" s="10" t="s">
        <v>38</v>
      </c>
      <c r="F31" s="10" t="s">
        <v>38</v>
      </c>
      <c r="G31" s="10" t="s">
        <v>38</v>
      </c>
      <c r="H31" s="10" t="s">
        <v>53</v>
      </c>
      <c r="I31" s="10" t="s">
        <v>49</v>
      </c>
      <c r="J31" s="11" t="s">
        <v>153</v>
      </c>
      <c r="K31" s="12"/>
      <c r="L31" s="13"/>
    </row>
    <row r="32" customFormat="false" ht="15" hidden="false" customHeight="false" outlineLevel="0" collapsed="false">
      <c r="A32" s="6" t="s">
        <v>154</v>
      </c>
      <c r="B32" s="7" t="s">
        <v>123</v>
      </c>
      <c r="C32" s="8" t="s">
        <v>155</v>
      </c>
      <c r="D32" s="9" t="s">
        <v>156</v>
      </c>
      <c r="E32" s="10" t="s">
        <v>69</v>
      </c>
      <c r="F32" s="10" t="s">
        <v>38</v>
      </c>
      <c r="G32" s="10" t="s">
        <v>53</v>
      </c>
      <c r="H32" s="10" t="s">
        <v>68</v>
      </c>
      <c r="I32" s="10" t="s">
        <v>39</v>
      </c>
      <c r="J32" s="11" t="s">
        <v>157</v>
      </c>
      <c r="K32" s="12"/>
      <c r="L32" s="13"/>
    </row>
    <row r="33" customFormat="false" ht="22.35" hidden="false" customHeight="false" outlineLevel="0" collapsed="false">
      <c r="A33" s="6" t="s">
        <v>158</v>
      </c>
      <c r="B33" s="7" t="s">
        <v>123</v>
      </c>
      <c r="C33" s="8" t="s">
        <v>159</v>
      </c>
      <c r="D33" s="9" t="s">
        <v>160</v>
      </c>
      <c r="E33" s="10" t="s">
        <v>69</v>
      </c>
      <c r="F33" s="10" t="s">
        <v>69</v>
      </c>
      <c r="G33" s="10" t="s">
        <v>69</v>
      </c>
      <c r="H33" s="10" t="s">
        <v>69</v>
      </c>
      <c r="I33" s="10" t="s">
        <v>49</v>
      </c>
      <c r="J33" s="11" t="s">
        <v>161</v>
      </c>
      <c r="K33" s="12"/>
      <c r="L33" s="13"/>
    </row>
    <row r="34" customFormat="false" ht="22.35" hidden="false" customHeight="false" outlineLevel="0" collapsed="false">
      <c r="A34" s="6" t="s">
        <v>162</v>
      </c>
      <c r="B34" s="7" t="s">
        <v>123</v>
      </c>
      <c r="C34" s="8" t="s">
        <v>163</v>
      </c>
      <c r="D34" s="9" t="s">
        <v>164</v>
      </c>
      <c r="E34" s="10" t="s">
        <v>69</v>
      </c>
      <c r="F34" s="10" t="s">
        <v>69</v>
      </c>
      <c r="G34" s="10" t="s">
        <v>53</v>
      </c>
      <c r="H34" s="10" t="s">
        <v>69</v>
      </c>
      <c r="I34" s="10" t="s">
        <v>49</v>
      </c>
      <c r="J34" s="11" t="s">
        <v>165</v>
      </c>
      <c r="K34" s="12"/>
      <c r="L34" s="13"/>
    </row>
    <row r="35" customFormat="false" ht="15" hidden="false" customHeight="false" outlineLevel="0" collapsed="false">
      <c r="A35" s="6" t="s">
        <v>166</v>
      </c>
      <c r="B35" s="7" t="s">
        <v>167</v>
      </c>
      <c r="C35" s="8" t="s">
        <v>168</v>
      </c>
      <c r="D35" s="9" t="s">
        <v>169</v>
      </c>
      <c r="E35" s="10" t="s">
        <v>53</v>
      </c>
      <c r="F35" s="10" t="s">
        <v>38</v>
      </c>
      <c r="G35" s="10" t="s">
        <v>38</v>
      </c>
      <c r="H35" s="10" t="s">
        <v>53</v>
      </c>
      <c r="I35" s="10" t="s">
        <v>39</v>
      </c>
      <c r="J35" s="11" t="s">
        <v>170</v>
      </c>
      <c r="K35" s="12"/>
      <c r="L35" s="13"/>
    </row>
    <row r="36" customFormat="false" ht="15" hidden="false" customHeight="false" outlineLevel="0" collapsed="false">
      <c r="A36" s="6" t="s">
        <v>171</v>
      </c>
      <c r="B36" s="7" t="s">
        <v>167</v>
      </c>
      <c r="C36" s="8" t="s">
        <v>172</v>
      </c>
      <c r="D36" s="9" t="s">
        <v>173</v>
      </c>
      <c r="E36" s="10" t="s">
        <v>53</v>
      </c>
      <c r="F36" s="10" t="s">
        <v>53</v>
      </c>
      <c r="G36" s="10" t="s">
        <v>38</v>
      </c>
      <c r="H36" s="10" t="s">
        <v>69</v>
      </c>
      <c r="I36" s="10" t="s">
        <v>49</v>
      </c>
      <c r="J36" s="11"/>
      <c r="K36" s="12"/>
      <c r="L36" s="13"/>
    </row>
    <row r="37" customFormat="false" ht="15" hidden="false" customHeight="false" outlineLevel="0" collapsed="false">
      <c r="A37" s="6" t="s">
        <v>174</v>
      </c>
      <c r="B37" s="7" t="s">
        <v>167</v>
      </c>
      <c r="C37" s="8" t="s">
        <v>175</v>
      </c>
      <c r="D37" s="9" t="s">
        <v>176</v>
      </c>
      <c r="E37" s="10" t="s">
        <v>38</v>
      </c>
      <c r="F37" s="10" t="s">
        <v>38</v>
      </c>
      <c r="G37" s="10" t="s">
        <v>38</v>
      </c>
      <c r="H37" s="10" t="s">
        <v>53</v>
      </c>
      <c r="I37" s="10" t="s">
        <v>39</v>
      </c>
      <c r="J37" s="11" t="s">
        <v>177</v>
      </c>
      <c r="K37" s="12"/>
      <c r="L37" s="13"/>
    </row>
    <row r="38" customFormat="false" ht="15" hidden="false" customHeight="false" outlineLevel="0" collapsed="false">
      <c r="A38" s="6" t="s">
        <v>178</v>
      </c>
      <c r="B38" s="7" t="s">
        <v>167</v>
      </c>
      <c r="C38" s="8" t="s">
        <v>179</v>
      </c>
      <c r="D38" s="9" t="s">
        <v>180</v>
      </c>
      <c r="E38" s="10" t="s">
        <v>69</v>
      </c>
      <c r="F38" s="10" t="s">
        <v>38</v>
      </c>
      <c r="G38" s="10" t="s">
        <v>38</v>
      </c>
      <c r="H38" s="10" t="s">
        <v>53</v>
      </c>
      <c r="I38" s="10" t="s">
        <v>39</v>
      </c>
      <c r="J38" s="11" t="s">
        <v>181</v>
      </c>
      <c r="K38" s="12"/>
      <c r="L38" s="13"/>
    </row>
    <row r="39" customFormat="false" ht="15" hidden="false" customHeight="false" outlineLevel="0" collapsed="false">
      <c r="A39" s="6" t="s">
        <v>182</v>
      </c>
      <c r="B39" s="7" t="s">
        <v>167</v>
      </c>
      <c r="C39" s="8" t="s">
        <v>183</v>
      </c>
      <c r="D39" s="9" t="s">
        <v>184</v>
      </c>
      <c r="E39" s="10" t="s">
        <v>53</v>
      </c>
      <c r="F39" s="10" t="s">
        <v>53</v>
      </c>
      <c r="G39" s="10" t="s">
        <v>38</v>
      </c>
      <c r="H39" s="10" t="s">
        <v>69</v>
      </c>
      <c r="I39" s="10" t="s">
        <v>49</v>
      </c>
      <c r="J39" s="11"/>
      <c r="K39" s="12"/>
      <c r="L39" s="13"/>
    </row>
    <row r="40" customFormat="false" ht="22.35" hidden="false" customHeight="false" outlineLevel="0" collapsed="false">
      <c r="A40" s="6" t="s">
        <v>185</v>
      </c>
      <c r="B40" s="7" t="s">
        <v>167</v>
      </c>
      <c r="C40" s="8" t="s">
        <v>186</v>
      </c>
      <c r="D40" s="9" t="s">
        <v>187</v>
      </c>
      <c r="E40" s="10" t="s">
        <v>69</v>
      </c>
      <c r="F40" s="10" t="s">
        <v>38</v>
      </c>
      <c r="G40" s="10" t="s">
        <v>38</v>
      </c>
      <c r="H40" s="10" t="s">
        <v>38</v>
      </c>
      <c r="I40" s="10" t="s">
        <v>49</v>
      </c>
      <c r="J40" s="11" t="s">
        <v>188</v>
      </c>
      <c r="K40" s="12"/>
      <c r="L40" s="13"/>
    </row>
    <row r="41" customFormat="false" ht="15" hidden="false" customHeight="false" outlineLevel="0" collapsed="false">
      <c r="A41" s="6" t="s">
        <v>189</v>
      </c>
      <c r="B41" s="7" t="s">
        <v>167</v>
      </c>
      <c r="C41" s="8" t="s">
        <v>190</v>
      </c>
      <c r="D41" s="9" t="s">
        <v>191</v>
      </c>
      <c r="E41" s="10" t="s">
        <v>69</v>
      </c>
      <c r="F41" s="10" t="s">
        <v>53</v>
      </c>
      <c r="G41" s="10" t="s">
        <v>38</v>
      </c>
      <c r="H41" s="10" t="s">
        <v>69</v>
      </c>
      <c r="I41" s="10" t="s">
        <v>49</v>
      </c>
      <c r="J41" s="11" t="s">
        <v>192</v>
      </c>
      <c r="K41" s="12"/>
      <c r="L41" s="13"/>
    </row>
    <row r="42" customFormat="false" ht="15" hidden="false" customHeight="false" outlineLevel="0" collapsed="false">
      <c r="A42" s="6" t="s">
        <v>193</v>
      </c>
      <c r="B42" s="7" t="s">
        <v>167</v>
      </c>
      <c r="C42" s="8" t="s">
        <v>194</v>
      </c>
      <c r="D42" s="9" t="s">
        <v>195</v>
      </c>
      <c r="E42" s="10" t="s">
        <v>38</v>
      </c>
      <c r="F42" s="10" t="s">
        <v>53</v>
      </c>
      <c r="G42" s="10" t="s">
        <v>38</v>
      </c>
      <c r="H42" s="10" t="s">
        <v>53</v>
      </c>
      <c r="I42" s="10" t="s">
        <v>49</v>
      </c>
      <c r="J42" s="11"/>
      <c r="K42" s="12"/>
      <c r="L42" s="13"/>
    </row>
    <row r="43" customFormat="false" ht="22.35" hidden="false" customHeight="false" outlineLevel="0" collapsed="false">
      <c r="A43" s="6" t="s">
        <v>196</v>
      </c>
      <c r="B43" s="7" t="s">
        <v>167</v>
      </c>
      <c r="C43" s="8" t="s">
        <v>197</v>
      </c>
      <c r="D43" s="9" t="s">
        <v>198</v>
      </c>
      <c r="E43" s="10" t="s">
        <v>38</v>
      </c>
      <c r="F43" s="10" t="s">
        <v>38</v>
      </c>
      <c r="G43" s="10" t="s">
        <v>38</v>
      </c>
      <c r="H43" s="10" t="s">
        <v>53</v>
      </c>
      <c r="I43" s="10" t="s">
        <v>53</v>
      </c>
      <c r="J43" s="11" t="s">
        <v>199</v>
      </c>
      <c r="K43" s="12"/>
      <c r="L43" s="13"/>
    </row>
    <row r="44" customFormat="false" ht="15" hidden="false" customHeight="false" outlineLevel="0" collapsed="false">
      <c r="A44" s="6" t="s">
        <v>200</v>
      </c>
      <c r="B44" s="7" t="s">
        <v>201</v>
      </c>
      <c r="C44" s="8" t="s">
        <v>202</v>
      </c>
      <c r="D44" s="9" t="s">
        <v>203</v>
      </c>
      <c r="E44" s="10" t="s">
        <v>38</v>
      </c>
      <c r="F44" s="10" t="s">
        <v>38</v>
      </c>
      <c r="G44" s="10" t="s">
        <v>38</v>
      </c>
      <c r="H44" s="10" t="s">
        <v>38</v>
      </c>
      <c r="I44" s="10" t="s">
        <v>39</v>
      </c>
      <c r="J44" s="11" t="s">
        <v>204</v>
      </c>
      <c r="K44" s="12"/>
      <c r="L44" s="13"/>
    </row>
    <row r="45" customFormat="false" ht="15" hidden="false" customHeight="false" outlineLevel="0" collapsed="false">
      <c r="A45" s="6" t="s">
        <v>205</v>
      </c>
      <c r="B45" s="7" t="s">
        <v>201</v>
      </c>
      <c r="C45" s="8" t="s">
        <v>206</v>
      </c>
      <c r="D45" s="9" t="s">
        <v>207</v>
      </c>
      <c r="E45" s="10" t="s">
        <v>53</v>
      </c>
      <c r="F45" s="10" t="s">
        <v>38</v>
      </c>
      <c r="G45" s="10" t="s">
        <v>38</v>
      </c>
      <c r="H45" s="10" t="s">
        <v>69</v>
      </c>
      <c r="I45" s="10" t="s">
        <v>39</v>
      </c>
      <c r="J45" s="11" t="s">
        <v>208</v>
      </c>
      <c r="K45" s="12"/>
      <c r="L45" s="13"/>
    </row>
    <row r="46" customFormat="false" ht="15" hidden="false" customHeight="false" outlineLevel="0" collapsed="false">
      <c r="A46" s="6" t="s">
        <v>209</v>
      </c>
      <c r="B46" s="7" t="s">
        <v>201</v>
      </c>
      <c r="C46" s="8" t="s">
        <v>210</v>
      </c>
      <c r="D46" s="9" t="s">
        <v>211</v>
      </c>
      <c r="E46" s="10" t="s">
        <v>69</v>
      </c>
      <c r="F46" s="10" t="s">
        <v>69</v>
      </c>
      <c r="G46" s="10" t="s">
        <v>69</v>
      </c>
      <c r="H46" s="10" t="s">
        <v>69</v>
      </c>
      <c r="I46" s="10" t="s">
        <v>39</v>
      </c>
      <c r="J46" s="11" t="s">
        <v>212</v>
      </c>
      <c r="K46" s="12"/>
      <c r="L46" s="13"/>
    </row>
    <row r="47" customFormat="false" ht="22.35" hidden="false" customHeight="false" outlineLevel="0" collapsed="false">
      <c r="A47" s="6" t="s">
        <v>213</v>
      </c>
      <c r="B47" s="7" t="s">
        <v>201</v>
      </c>
      <c r="C47" s="8" t="s">
        <v>214</v>
      </c>
      <c r="D47" s="9" t="s">
        <v>215</v>
      </c>
      <c r="E47" s="10" t="s">
        <v>53</v>
      </c>
      <c r="F47" s="10" t="s">
        <v>53</v>
      </c>
      <c r="G47" s="10" t="s">
        <v>53</v>
      </c>
      <c r="H47" s="10" t="s">
        <v>69</v>
      </c>
      <c r="I47" s="10" t="s">
        <v>39</v>
      </c>
      <c r="J47" s="11" t="s">
        <v>216</v>
      </c>
      <c r="K47" s="12"/>
      <c r="L47" s="13"/>
    </row>
    <row r="48" customFormat="false" ht="15" hidden="false" customHeight="false" outlineLevel="0" collapsed="false">
      <c r="A48" s="6" t="s">
        <v>217</v>
      </c>
      <c r="B48" s="7" t="s">
        <v>201</v>
      </c>
      <c r="C48" s="8" t="s">
        <v>218</v>
      </c>
      <c r="D48" s="9" t="s">
        <v>219</v>
      </c>
      <c r="E48" s="10" t="s">
        <v>69</v>
      </c>
      <c r="F48" s="10" t="s">
        <v>69</v>
      </c>
      <c r="G48" s="10" t="s">
        <v>69</v>
      </c>
      <c r="H48" s="10" t="s">
        <v>69</v>
      </c>
      <c r="I48" s="10" t="s">
        <v>53</v>
      </c>
      <c r="J48" s="11" t="s">
        <v>220</v>
      </c>
      <c r="K48" s="12"/>
      <c r="L48" s="13"/>
    </row>
    <row r="49" customFormat="false" ht="15" hidden="false" customHeight="false" outlineLevel="0" collapsed="false">
      <c r="A49" s="6" t="s">
        <v>221</v>
      </c>
      <c r="B49" s="7" t="s">
        <v>201</v>
      </c>
      <c r="C49" s="8" t="s">
        <v>222</v>
      </c>
      <c r="D49" s="9" t="s">
        <v>223</v>
      </c>
      <c r="E49" s="10" t="s">
        <v>53</v>
      </c>
      <c r="F49" s="10" t="s">
        <v>53</v>
      </c>
      <c r="G49" s="10" t="s">
        <v>53</v>
      </c>
      <c r="H49" s="10" t="s">
        <v>69</v>
      </c>
      <c r="I49" s="10" t="s">
        <v>53</v>
      </c>
      <c r="J49" s="11" t="s">
        <v>224</v>
      </c>
      <c r="K49" s="12"/>
      <c r="L49" s="13"/>
    </row>
    <row r="50" customFormat="false" ht="15" hidden="false" customHeight="false" outlineLevel="0" collapsed="false">
      <c r="A50" s="6" t="s">
        <v>225</v>
      </c>
      <c r="B50" s="7" t="s">
        <v>201</v>
      </c>
      <c r="C50" s="8" t="s">
        <v>226</v>
      </c>
      <c r="D50" s="9" t="s">
        <v>227</v>
      </c>
      <c r="E50" s="10" t="s">
        <v>53</v>
      </c>
      <c r="F50" s="10" t="s">
        <v>38</v>
      </c>
      <c r="G50" s="10" t="s">
        <v>38</v>
      </c>
      <c r="H50" s="10" t="s">
        <v>69</v>
      </c>
      <c r="I50" s="10" t="s">
        <v>49</v>
      </c>
      <c r="J50" s="11" t="s">
        <v>228</v>
      </c>
      <c r="K50" s="12"/>
      <c r="L50" s="13"/>
    </row>
    <row r="51" customFormat="false" ht="22.35" hidden="false" customHeight="false" outlineLevel="0" collapsed="false">
      <c r="A51" s="6" t="s">
        <v>229</v>
      </c>
      <c r="B51" s="7" t="s">
        <v>201</v>
      </c>
      <c r="C51" s="8" t="s">
        <v>230</v>
      </c>
      <c r="D51" s="9" t="s">
        <v>231</v>
      </c>
      <c r="E51" s="10" t="s">
        <v>69</v>
      </c>
      <c r="F51" s="10" t="s">
        <v>53</v>
      </c>
      <c r="G51" s="10" t="s">
        <v>53</v>
      </c>
      <c r="H51" s="10" t="s">
        <v>69</v>
      </c>
      <c r="I51" s="10" t="s">
        <v>39</v>
      </c>
      <c r="J51" s="11" t="s">
        <v>232</v>
      </c>
      <c r="K51" s="12"/>
      <c r="L51" s="13"/>
    </row>
    <row r="52" customFormat="false" ht="15" hidden="false" customHeight="false" outlineLevel="0" collapsed="false">
      <c r="A52" s="6" t="s">
        <v>233</v>
      </c>
      <c r="B52" s="7" t="s">
        <v>201</v>
      </c>
      <c r="C52" s="8" t="s">
        <v>234</v>
      </c>
      <c r="D52" s="9" t="s">
        <v>235</v>
      </c>
      <c r="E52" s="10" t="s">
        <v>69</v>
      </c>
      <c r="F52" s="10" t="s">
        <v>69</v>
      </c>
      <c r="G52" s="10" t="s">
        <v>69</v>
      </c>
      <c r="H52" s="10" t="s">
        <v>69</v>
      </c>
      <c r="I52" s="10" t="s">
        <v>49</v>
      </c>
      <c r="J52" s="11" t="s">
        <v>236</v>
      </c>
      <c r="K52" s="12"/>
      <c r="L52" s="13"/>
    </row>
    <row r="53" customFormat="false" ht="22.35" hidden="false" customHeight="false" outlineLevel="0" collapsed="false">
      <c r="A53" s="6" t="s">
        <v>237</v>
      </c>
      <c r="B53" s="7" t="s">
        <v>201</v>
      </c>
      <c r="C53" s="8" t="s">
        <v>238</v>
      </c>
      <c r="D53" s="9" t="s">
        <v>239</v>
      </c>
      <c r="E53" s="10" t="s">
        <v>69</v>
      </c>
      <c r="F53" s="10" t="s">
        <v>69</v>
      </c>
      <c r="G53" s="10" t="s">
        <v>69</v>
      </c>
      <c r="H53" s="10" t="s">
        <v>69</v>
      </c>
      <c r="I53" s="10" t="s">
        <v>49</v>
      </c>
      <c r="J53" s="11" t="s">
        <v>240</v>
      </c>
      <c r="K53" s="12"/>
      <c r="L53" s="13"/>
    </row>
    <row r="54" customFormat="false" ht="15" hidden="false" customHeight="false" outlineLevel="0" collapsed="false">
      <c r="A54" s="6" t="s">
        <v>241</v>
      </c>
      <c r="B54" s="7" t="s">
        <v>201</v>
      </c>
      <c r="C54" s="8" t="s">
        <v>242</v>
      </c>
      <c r="D54" s="9" t="s">
        <v>243</v>
      </c>
      <c r="E54" s="10" t="s">
        <v>69</v>
      </c>
      <c r="F54" s="10" t="s">
        <v>38</v>
      </c>
      <c r="G54" s="10" t="s">
        <v>38</v>
      </c>
      <c r="H54" s="10" t="s">
        <v>69</v>
      </c>
      <c r="I54" s="10" t="s">
        <v>49</v>
      </c>
      <c r="J54" s="11" t="s">
        <v>244</v>
      </c>
      <c r="K54" s="12"/>
      <c r="L54" s="13"/>
    </row>
    <row r="55" customFormat="false" ht="15" hidden="false" customHeight="false" outlineLevel="0" collapsed="false">
      <c r="A55" s="6" t="s">
        <v>245</v>
      </c>
      <c r="B55" s="7" t="s">
        <v>201</v>
      </c>
      <c r="C55" s="8" t="s">
        <v>246</v>
      </c>
      <c r="D55" s="9" t="s">
        <v>247</v>
      </c>
      <c r="E55" s="10" t="s">
        <v>38</v>
      </c>
      <c r="F55" s="10" t="s">
        <v>53</v>
      </c>
      <c r="G55" s="10" t="s">
        <v>38</v>
      </c>
      <c r="H55" s="10" t="s">
        <v>53</v>
      </c>
      <c r="I55" s="10" t="s">
        <v>49</v>
      </c>
      <c r="J55" s="11"/>
      <c r="K55" s="12"/>
      <c r="L55" s="13"/>
    </row>
    <row r="56" customFormat="false" ht="15" hidden="false" customHeight="false" outlineLevel="0" collapsed="false">
      <c r="A56" s="6" t="s">
        <v>248</v>
      </c>
      <c r="B56" s="7" t="s">
        <v>249</v>
      </c>
      <c r="C56" s="8" t="s">
        <v>250</v>
      </c>
      <c r="D56" s="9" t="s">
        <v>251</v>
      </c>
      <c r="E56" s="10" t="s">
        <v>38</v>
      </c>
      <c r="F56" s="10" t="s">
        <v>38</v>
      </c>
      <c r="G56" s="10" t="s">
        <v>53</v>
      </c>
      <c r="H56" s="10" t="s">
        <v>38</v>
      </c>
      <c r="I56" s="10" t="s">
        <v>49</v>
      </c>
      <c r="J56" s="11" t="s">
        <v>252</v>
      </c>
      <c r="K56" s="12"/>
      <c r="L56" s="13"/>
    </row>
    <row r="57" customFormat="false" ht="15" hidden="false" customHeight="false" outlineLevel="0" collapsed="false">
      <c r="A57" s="6" t="s">
        <v>253</v>
      </c>
      <c r="B57" s="7" t="s">
        <v>249</v>
      </c>
      <c r="C57" s="8" t="s">
        <v>254</v>
      </c>
      <c r="D57" s="9" t="s">
        <v>255</v>
      </c>
      <c r="E57" s="10" t="s">
        <v>38</v>
      </c>
      <c r="F57" s="10" t="s">
        <v>38</v>
      </c>
      <c r="G57" s="10" t="s">
        <v>53</v>
      </c>
      <c r="H57" s="10" t="s">
        <v>38</v>
      </c>
      <c r="I57" s="10" t="s">
        <v>49</v>
      </c>
      <c r="J57" s="11"/>
      <c r="K57" s="12"/>
      <c r="L57" s="13"/>
    </row>
    <row r="58" customFormat="false" ht="15" hidden="false" customHeight="false" outlineLevel="0" collapsed="false">
      <c r="A58" s="6" t="s">
        <v>256</v>
      </c>
      <c r="B58" s="7" t="s">
        <v>249</v>
      </c>
      <c r="C58" s="8" t="s">
        <v>257</v>
      </c>
      <c r="D58" s="9" t="s">
        <v>258</v>
      </c>
      <c r="E58" s="10" t="s">
        <v>38</v>
      </c>
      <c r="F58" s="10" t="s">
        <v>38</v>
      </c>
      <c r="G58" s="10" t="s">
        <v>53</v>
      </c>
      <c r="H58" s="10" t="s">
        <v>38</v>
      </c>
      <c r="I58" s="10" t="s">
        <v>49</v>
      </c>
      <c r="J58" s="11"/>
      <c r="K58" s="12"/>
      <c r="L58" s="13"/>
    </row>
    <row r="59" customFormat="false" ht="15" hidden="false" customHeight="false" outlineLevel="0" collapsed="false">
      <c r="A59" s="6" t="s">
        <v>259</v>
      </c>
      <c r="B59" s="7" t="s">
        <v>249</v>
      </c>
      <c r="C59" s="8" t="s">
        <v>260</v>
      </c>
      <c r="D59" s="9" t="s">
        <v>261</v>
      </c>
      <c r="E59" s="10" t="s">
        <v>69</v>
      </c>
      <c r="F59" s="10" t="s">
        <v>69</v>
      </c>
      <c r="G59" s="10" t="s">
        <v>69</v>
      </c>
      <c r="H59" s="10" t="s">
        <v>69</v>
      </c>
      <c r="I59" s="10" t="s">
        <v>49</v>
      </c>
      <c r="J59" s="11" t="s">
        <v>262</v>
      </c>
      <c r="K59" s="12"/>
      <c r="L59" s="13"/>
    </row>
    <row r="60" customFormat="false" ht="15" hidden="false" customHeight="false" outlineLevel="0" collapsed="false">
      <c r="A60" s="6" t="s">
        <v>263</v>
      </c>
      <c r="B60" s="7" t="s">
        <v>249</v>
      </c>
      <c r="C60" s="8" t="s">
        <v>264</v>
      </c>
      <c r="D60" s="9" t="s">
        <v>265</v>
      </c>
      <c r="E60" s="10" t="s">
        <v>38</v>
      </c>
      <c r="F60" s="10" t="s">
        <v>38</v>
      </c>
      <c r="G60" s="10" t="s">
        <v>38</v>
      </c>
      <c r="H60" s="10" t="s">
        <v>38</v>
      </c>
      <c r="I60" s="10" t="s">
        <v>49</v>
      </c>
      <c r="J60" s="11"/>
      <c r="K60" s="12"/>
      <c r="L60" s="13"/>
    </row>
    <row r="61" customFormat="false" ht="22.35" hidden="false" customHeight="false" outlineLevel="0" collapsed="false">
      <c r="A61" s="6" t="s">
        <v>266</v>
      </c>
      <c r="B61" s="7" t="s">
        <v>249</v>
      </c>
      <c r="C61" s="8" t="s">
        <v>267</v>
      </c>
      <c r="D61" s="9" t="s">
        <v>268</v>
      </c>
      <c r="E61" s="10" t="s">
        <v>69</v>
      </c>
      <c r="F61" s="10" t="s">
        <v>38</v>
      </c>
      <c r="G61" s="10" t="s">
        <v>38</v>
      </c>
      <c r="H61" s="10" t="s">
        <v>69</v>
      </c>
      <c r="I61" s="10" t="s">
        <v>49</v>
      </c>
      <c r="J61" s="11" t="s">
        <v>269</v>
      </c>
      <c r="K61" s="12"/>
      <c r="L61" s="13"/>
    </row>
    <row r="62" customFormat="false" ht="15" hidden="false" customHeight="false" outlineLevel="0" collapsed="false">
      <c r="A62" s="6" t="s">
        <v>270</v>
      </c>
      <c r="B62" s="7" t="s">
        <v>249</v>
      </c>
      <c r="C62" s="8" t="s">
        <v>271</v>
      </c>
      <c r="D62" s="9" t="s">
        <v>272</v>
      </c>
      <c r="E62" s="10" t="s">
        <v>69</v>
      </c>
      <c r="F62" s="10" t="s">
        <v>38</v>
      </c>
      <c r="G62" s="10" t="s">
        <v>38</v>
      </c>
      <c r="H62" s="10" t="s">
        <v>69</v>
      </c>
      <c r="I62" s="10" t="s">
        <v>49</v>
      </c>
      <c r="J62" s="11"/>
      <c r="K62" s="12"/>
      <c r="L62" s="13"/>
    </row>
    <row r="63" customFormat="false" ht="15" hidden="false" customHeight="false" outlineLevel="0" collapsed="false">
      <c r="A63" s="6" t="s">
        <v>273</v>
      </c>
      <c r="B63" s="7" t="s">
        <v>249</v>
      </c>
      <c r="C63" s="8" t="s">
        <v>274</v>
      </c>
      <c r="D63" s="9" t="s">
        <v>275</v>
      </c>
      <c r="E63" s="10" t="s">
        <v>38</v>
      </c>
      <c r="F63" s="10" t="s">
        <v>53</v>
      </c>
      <c r="G63" s="10" t="s">
        <v>53</v>
      </c>
      <c r="H63" s="10" t="s">
        <v>53</v>
      </c>
      <c r="I63" s="10" t="s">
        <v>49</v>
      </c>
      <c r="J63" s="11"/>
      <c r="K63" s="12"/>
      <c r="L63" s="13"/>
    </row>
    <row r="64" customFormat="false" ht="15" hidden="false" customHeight="false" outlineLevel="0" collapsed="false">
      <c r="A64" s="6" t="s">
        <v>276</v>
      </c>
      <c r="B64" s="7" t="s">
        <v>249</v>
      </c>
      <c r="C64" s="8" t="s">
        <v>277</v>
      </c>
      <c r="D64" s="9" t="s">
        <v>278</v>
      </c>
      <c r="E64" s="10" t="s">
        <v>53</v>
      </c>
      <c r="F64" s="10" t="s">
        <v>53</v>
      </c>
      <c r="G64" s="10" t="s">
        <v>53</v>
      </c>
      <c r="H64" s="10" t="s">
        <v>53</v>
      </c>
      <c r="I64" s="10" t="s">
        <v>49</v>
      </c>
      <c r="J64" s="11"/>
      <c r="K64" s="12"/>
      <c r="L64" s="13"/>
    </row>
    <row r="65" customFormat="false" ht="15" hidden="false" customHeight="false" outlineLevel="0" collapsed="false">
      <c r="A65" s="6" t="s">
        <v>279</v>
      </c>
      <c r="B65" s="7" t="s">
        <v>280</v>
      </c>
      <c r="C65" s="8" t="s">
        <v>281</v>
      </c>
      <c r="D65" s="9" t="s">
        <v>282</v>
      </c>
      <c r="E65" s="10" t="s">
        <v>38</v>
      </c>
      <c r="F65" s="10" t="s">
        <v>38</v>
      </c>
      <c r="G65" s="10" t="s">
        <v>38</v>
      </c>
      <c r="H65" s="10" t="s">
        <v>38</v>
      </c>
      <c r="I65" s="10" t="s">
        <v>53</v>
      </c>
      <c r="J65" s="11" t="s">
        <v>283</v>
      </c>
      <c r="K65" s="12"/>
      <c r="L65" s="13"/>
    </row>
    <row r="66" customFormat="false" ht="15" hidden="false" customHeight="false" outlineLevel="0" collapsed="false">
      <c r="A66" s="6" t="s">
        <v>284</v>
      </c>
      <c r="B66" s="7" t="s">
        <v>280</v>
      </c>
      <c r="C66" s="8" t="s">
        <v>285</v>
      </c>
      <c r="D66" s="9" t="s">
        <v>286</v>
      </c>
      <c r="E66" s="10" t="s">
        <v>53</v>
      </c>
      <c r="F66" s="10" t="s">
        <v>38</v>
      </c>
      <c r="G66" s="10" t="s">
        <v>53</v>
      </c>
      <c r="H66" s="10" t="s">
        <v>53</v>
      </c>
      <c r="I66" s="10" t="s">
        <v>44</v>
      </c>
      <c r="J66" s="11" t="s">
        <v>287</v>
      </c>
      <c r="K66" s="12"/>
      <c r="L66" s="13"/>
    </row>
    <row r="67" customFormat="false" ht="15" hidden="false" customHeight="false" outlineLevel="0" collapsed="false">
      <c r="A67" s="6" t="s">
        <v>288</v>
      </c>
      <c r="B67" s="7" t="s">
        <v>280</v>
      </c>
      <c r="C67" s="8" t="s">
        <v>289</v>
      </c>
      <c r="D67" s="9" t="s">
        <v>290</v>
      </c>
      <c r="E67" s="10" t="s">
        <v>53</v>
      </c>
      <c r="F67" s="10" t="s">
        <v>53</v>
      </c>
      <c r="G67" s="10" t="s">
        <v>53</v>
      </c>
      <c r="H67" s="10" t="s">
        <v>69</v>
      </c>
      <c r="I67" s="10" t="s">
        <v>44</v>
      </c>
      <c r="J67" s="11" t="s">
        <v>291</v>
      </c>
      <c r="K67" s="12"/>
      <c r="L67" s="13"/>
    </row>
    <row r="68" customFormat="false" ht="15" hidden="false" customHeight="false" outlineLevel="0" collapsed="false">
      <c r="A68" s="6" t="s">
        <v>292</v>
      </c>
      <c r="B68" s="7" t="s">
        <v>280</v>
      </c>
      <c r="C68" s="8" t="s">
        <v>293</v>
      </c>
      <c r="D68" s="9" t="s">
        <v>294</v>
      </c>
      <c r="E68" s="10" t="s">
        <v>38</v>
      </c>
      <c r="F68" s="10" t="s">
        <v>53</v>
      </c>
      <c r="G68" s="10" t="s">
        <v>53</v>
      </c>
      <c r="H68" s="10" t="s">
        <v>69</v>
      </c>
      <c r="I68" s="10" t="s">
        <v>49</v>
      </c>
      <c r="J68" s="11"/>
      <c r="K68" s="12"/>
      <c r="L68" s="13"/>
    </row>
    <row r="69" customFormat="false" ht="15" hidden="false" customHeight="false" outlineLevel="0" collapsed="false">
      <c r="A69" s="6" t="s">
        <v>295</v>
      </c>
      <c r="B69" s="7" t="s">
        <v>280</v>
      </c>
      <c r="C69" s="8" t="s">
        <v>296</v>
      </c>
      <c r="D69" s="9" t="s">
        <v>297</v>
      </c>
      <c r="E69" s="10" t="s">
        <v>38</v>
      </c>
      <c r="F69" s="10" t="s">
        <v>38</v>
      </c>
      <c r="G69" s="10" t="s">
        <v>38</v>
      </c>
      <c r="H69" s="10" t="s">
        <v>53</v>
      </c>
      <c r="I69" s="10" t="s">
        <v>49</v>
      </c>
      <c r="J69" s="11"/>
      <c r="K69" s="12"/>
      <c r="L69" s="13"/>
    </row>
    <row r="70" customFormat="false" ht="15" hidden="false" customHeight="false" outlineLevel="0" collapsed="false">
      <c r="A70" s="6" t="s">
        <v>298</v>
      </c>
      <c r="B70" s="7" t="s">
        <v>280</v>
      </c>
      <c r="C70" s="8" t="s">
        <v>299</v>
      </c>
      <c r="D70" s="9" t="s">
        <v>300</v>
      </c>
      <c r="E70" s="10" t="s">
        <v>53</v>
      </c>
      <c r="F70" s="10" t="s">
        <v>38</v>
      </c>
      <c r="G70" s="10" t="s">
        <v>38</v>
      </c>
      <c r="H70" s="10" t="s">
        <v>53</v>
      </c>
      <c r="I70" s="10" t="s">
        <v>53</v>
      </c>
      <c r="J70" s="11" t="s">
        <v>301</v>
      </c>
      <c r="K70" s="12"/>
      <c r="L70" s="13"/>
    </row>
    <row r="71" customFormat="false" ht="15" hidden="false" customHeight="false" outlineLevel="0" collapsed="false">
      <c r="A71" s="6" t="s">
        <v>302</v>
      </c>
      <c r="B71" s="7" t="s">
        <v>280</v>
      </c>
      <c r="C71" s="8" t="s">
        <v>303</v>
      </c>
      <c r="D71" s="9" t="s">
        <v>304</v>
      </c>
      <c r="E71" s="10" t="s">
        <v>53</v>
      </c>
      <c r="F71" s="10" t="s">
        <v>38</v>
      </c>
      <c r="G71" s="10" t="s">
        <v>38</v>
      </c>
      <c r="H71" s="10" t="s">
        <v>38</v>
      </c>
      <c r="I71" s="10" t="s">
        <v>53</v>
      </c>
      <c r="J71" s="11" t="s">
        <v>305</v>
      </c>
      <c r="K71" s="12"/>
      <c r="L71" s="13"/>
    </row>
    <row r="72" customFormat="false" ht="15" hidden="false" customHeight="false" outlineLevel="0" collapsed="false">
      <c r="A72" s="6" t="s">
        <v>306</v>
      </c>
      <c r="B72" s="7" t="s">
        <v>280</v>
      </c>
      <c r="C72" s="8" t="s">
        <v>307</v>
      </c>
      <c r="D72" s="9" t="s">
        <v>308</v>
      </c>
      <c r="E72" s="10" t="s">
        <v>69</v>
      </c>
      <c r="F72" s="10" t="s">
        <v>53</v>
      </c>
      <c r="G72" s="10" t="s">
        <v>53</v>
      </c>
      <c r="H72" s="10" t="s">
        <v>53</v>
      </c>
      <c r="I72" s="10" t="s">
        <v>39</v>
      </c>
      <c r="J72" s="11" t="s">
        <v>309</v>
      </c>
      <c r="K72" s="12"/>
      <c r="L72" s="13"/>
    </row>
    <row r="73" customFormat="false" ht="15" hidden="false" customHeight="false" outlineLevel="0" collapsed="false">
      <c r="A73" s="6" t="s">
        <v>310</v>
      </c>
      <c r="B73" s="7" t="s">
        <v>311</v>
      </c>
      <c r="C73" s="8" t="s">
        <v>312</v>
      </c>
      <c r="D73" s="9" t="s">
        <v>313</v>
      </c>
      <c r="E73" s="10" t="s">
        <v>69</v>
      </c>
      <c r="F73" s="10" t="s">
        <v>38</v>
      </c>
      <c r="G73" s="10" t="s">
        <v>38</v>
      </c>
      <c r="H73" s="10" t="s">
        <v>38</v>
      </c>
      <c r="I73" s="10" t="s">
        <v>39</v>
      </c>
      <c r="J73" s="11" t="s">
        <v>314</v>
      </c>
      <c r="K73" s="12"/>
      <c r="L73" s="13"/>
    </row>
    <row r="74" customFormat="false" ht="15" hidden="false" customHeight="false" outlineLevel="0" collapsed="false">
      <c r="A74" s="6" t="s">
        <v>315</v>
      </c>
      <c r="B74" s="7" t="s">
        <v>311</v>
      </c>
      <c r="C74" s="8" t="s">
        <v>316</v>
      </c>
      <c r="D74" s="9" t="s">
        <v>317</v>
      </c>
      <c r="E74" s="10" t="s">
        <v>69</v>
      </c>
      <c r="F74" s="10" t="s">
        <v>38</v>
      </c>
      <c r="G74" s="10" t="s">
        <v>38</v>
      </c>
      <c r="H74" s="10" t="s">
        <v>38</v>
      </c>
      <c r="I74" s="10" t="s">
        <v>49</v>
      </c>
      <c r="J74" s="11" t="s">
        <v>318</v>
      </c>
      <c r="K74" s="12"/>
      <c r="L74" s="13"/>
    </row>
    <row r="75" customFormat="false" ht="15" hidden="false" customHeight="false" outlineLevel="0" collapsed="false">
      <c r="A75" s="6" t="s">
        <v>319</v>
      </c>
      <c r="B75" s="7" t="s">
        <v>311</v>
      </c>
      <c r="C75" s="8" t="s">
        <v>320</v>
      </c>
      <c r="D75" s="9" t="s">
        <v>321</v>
      </c>
      <c r="E75" s="10" t="s">
        <v>69</v>
      </c>
      <c r="F75" s="10" t="s">
        <v>53</v>
      </c>
      <c r="G75" s="10" t="s">
        <v>38</v>
      </c>
      <c r="H75" s="10" t="s">
        <v>38</v>
      </c>
      <c r="I75" s="10" t="s">
        <v>49</v>
      </c>
      <c r="J75" s="11"/>
      <c r="K75" s="12"/>
      <c r="L75" s="13"/>
    </row>
    <row r="76" customFormat="false" ht="15" hidden="false" customHeight="false" outlineLevel="0" collapsed="false">
      <c r="A76" s="6" t="s">
        <v>322</v>
      </c>
      <c r="B76" s="7" t="s">
        <v>311</v>
      </c>
      <c r="C76" s="8" t="s">
        <v>323</v>
      </c>
      <c r="D76" s="9" t="s">
        <v>324</v>
      </c>
      <c r="E76" s="10" t="s">
        <v>69</v>
      </c>
      <c r="F76" s="10" t="s">
        <v>53</v>
      </c>
      <c r="G76" s="10" t="s">
        <v>53</v>
      </c>
      <c r="H76" s="10" t="s">
        <v>53</v>
      </c>
      <c r="I76" s="10" t="s">
        <v>39</v>
      </c>
      <c r="J76" s="11" t="s">
        <v>325</v>
      </c>
      <c r="K76" s="12"/>
      <c r="L76" s="13"/>
    </row>
    <row r="77" customFormat="false" ht="22.35" hidden="false" customHeight="false" outlineLevel="0" collapsed="false">
      <c r="A77" s="6" t="s">
        <v>326</v>
      </c>
      <c r="B77" s="7" t="s">
        <v>311</v>
      </c>
      <c r="C77" s="8" t="s">
        <v>327</v>
      </c>
      <c r="D77" s="9" t="s">
        <v>328</v>
      </c>
      <c r="E77" s="10" t="s">
        <v>53</v>
      </c>
      <c r="F77" s="10" t="s">
        <v>53</v>
      </c>
      <c r="G77" s="10" t="s">
        <v>53</v>
      </c>
      <c r="H77" s="10" t="s">
        <v>69</v>
      </c>
      <c r="I77" s="10" t="s">
        <v>44</v>
      </c>
      <c r="J77" s="11" t="s">
        <v>329</v>
      </c>
      <c r="K77" s="12"/>
      <c r="L77" s="13"/>
    </row>
    <row r="78" customFormat="false" ht="15" hidden="false" customHeight="false" outlineLevel="0" collapsed="false">
      <c r="A78" s="6" t="s">
        <v>330</v>
      </c>
      <c r="B78" s="7" t="s">
        <v>311</v>
      </c>
      <c r="C78" s="8" t="s">
        <v>331</v>
      </c>
      <c r="D78" s="9" t="s">
        <v>332</v>
      </c>
      <c r="E78" s="10" t="s">
        <v>53</v>
      </c>
      <c r="F78" s="10" t="s">
        <v>53</v>
      </c>
      <c r="G78" s="10" t="s">
        <v>53</v>
      </c>
      <c r="H78" s="10" t="s">
        <v>69</v>
      </c>
      <c r="I78" s="10" t="s">
        <v>44</v>
      </c>
      <c r="J78" s="11" t="s">
        <v>333</v>
      </c>
      <c r="K78" s="12"/>
      <c r="L78" s="13"/>
    </row>
    <row r="79" customFormat="false" ht="15" hidden="false" customHeight="false" outlineLevel="0" collapsed="false">
      <c r="A79" s="6" t="s">
        <v>334</v>
      </c>
      <c r="B79" s="7" t="s">
        <v>311</v>
      </c>
      <c r="C79" s="8" t="s">
        <v>335</v>
      </c>
      <c r="D79" s="9" t="s">
        <v>336</v>
      </c>
      <c r="E79" s="10" t="s">
        <v>69</v>
      </c>
      <c r="F79" s="10" t="s">
        <v>69</v>
      </c>
      <c r="G79" s="10" t="s">
        <v>69</v>
      </c>
      <c r="H79" s="10" t="s">
        <v>69</v>
      </c>
      <c r="I79" s="10" t="s">
        <v>39</v>
      </c>
      <c r="J79" s="11" t="s">
        <v>337</v>
      </c>
      <c r="K79" s="12"/>
      <c r="L79" s="13"/>
    </row>
    <row r="80" customFormat="false" ht="15" hidden="false" customHeight="false" outlineLevel="0" collapsed="false">
      <c r="A80" s="6" t="s">
        <v>338</v>
      </c>
      <c r="B80" s="7" t="s">
        <v>311</v>
      </c>
      <c r="C80" s="8" t="s">
        <v>339</v>
      </c>
      <c r="D80" s="9" t="s">
        <v>340</v>
      </c>
      <c r="E80" s="10" t="s">
        <v>69</v>
      </c>
      <c r="F80" s="10" t="s">
        <v>69</v>
      </c>
      <c r="G80" s="10" t="s">
        <v>69</v>
      </c>
      <c r="H80" s="10" t="s">
        <v>69</v>
      </c>
      <c r="I80" s="10" t="s">
        <v>39</v>
      </c>
      <c r="J80" s="11"/>
      <c r="K80" s="12"/>
      <c r="L80" s="13"/>
    </row>
    <row r="81" customFormat="false" ht="15" hidden="false" customHeight="false" outlineLevel="0" collapsed="false">
      <c r="A81" s="6" t="s">
        <v>341</v>
      </c>
      <c r="B81" s="7" t="s">
        <v>311</v>
      </c>
      <c r="C81" s="8" t="s">
        <v>342</v>
      </c>
      <c r="D81" s="9" t="s">
        <v>343</v>
      </c>
      <c r="E81" s="10" t="s">
        <v>69</v>
      </c>
      <c r="F81" s="10" t="s">
        <v>53</v>
      </c>
      <c r="G81" s="10" t="s">
        <v>53</v>
      </c>
      <c r="H81" s="10" t="s">
        <v>68</v>
      </c>
      <c r="I81" s="10" t="s">
        <v>39</v>
      </c>
      <c r="J81" s="11" t="s">
        <v>344</v>
      </c>
      <c r="K81" s="12"/>
      <c r="L81" s="13"/>
    </row>
    <row r="82" customFormat="false" ht="15" hidden="false" customHeight="false" outlineLevel="0" collapsed="false">
      <c r="A82" s="6" t="s">
        <v>345</v>
      </c>
      <c r="B82" s="7" t="s">
        <v>346</v>
      </c>
      <c r="C82" s="8" t="s">
        <v>347</v>
      </c>
      <c r="D82" s="9" t="s">
        <v>348</v>
      </c>
      <c r="E82" s="10" t="s">
        <v>38</v>
      </c>
      <c r="F82" s="10" t="s">
        <v>53</v>
      </c>
      <c r="G82" s="10" t="s">
        <v>38</v>
      </c>
      <c r="H82" s="10" t="s">
        <v>53</v>
      </c>
      <c r="I82" s="10" t="s">
        <v>49</v>
      </c>
      <c r="J82" s="11" t="s">
        <v>349</v>
      </c>
      <c r="K82" s="12"/>
      <c r="L82" s="13"/>
    </row>
    <row r="83" customFormat="false" ht="15" hidden="false" customHeight="false" outlineLevel="0" collapsed="false">
      <c r="A83" s="6" t="s">
        <v>350</v>
      </c>
      <c r="B83" s="7" t="s">
        <v>346</v>
      </c>
      <c r="C83" s="8" t="s">
        <v>351</v>
      </c>
      <c r="D83" s="9" t="s">
        <v>352</v>
      </c>
      <c r="E83" s="10" t="s">
        <v>38</v>
      </c>
      <c r="F83" s="10" t="s">
        <v>53</v>
      </c>
      <c r="G83" s="10" t="s">
        <v>38</v>
      </c>
      <c r="H83" s="10" t="s">
        <v>38</v>
      </c>
      <c r="I83" s="10" t="s">
        <v>39</v>
      </c>
      <c r="J83" s="11" t="s">
        <v>353</v>
      </c>
      <c r="K83" s="12"/>
      <c r="L83" s="13"/>
    </row>
    <row r="84" customFormat="false" ht="15" hidden="false" customHeight="false" outlineLevel="0" collapsed="false">
      <c r="A84" s="6" t="s">
        <v>354</v>
      </c>
      <c r="B84" s="7" t="s">
        <v>346</v>
      </c>
      <c r="C84" s="8" t="s">
        <v>355</v>
      </c>
      <c r="D84" s="9" t="s">
        <v>356</v>
      </c>
      <c r="E84" s="10" t="s">
        <v>38</v>
      </c>
      <c r="F84" s="10" t="s">
        <v>69</v>
      </c>
      <c r="G84" s="10" t="s">
        <v>53</v>
      </c>
      <c r="H84" s="10" t="s">
        <v>38</v>
      </c>
      <c r="I84" s="10" t="s">
        <v>49</v>
      </c>
      <c r="J84" s="11"/>
      <c r="K84" s="12"/>
      <c r="L84" s="13"/>
    </row>
    <row r="85" customFormat="false" ht="15" hidden="false" customHeight="false" outlineLevel="0" collapsed="false">
      <c r="A85" s="6" t="s">
        <v>357</v>
      </c>
      <c r="B85" s="7" t="s">
        <v>346</v>
      </c>
      <c r="C85" s="8" t="s">
        <v>358</v>
      </c>
      <c r="D85" s="9" t="s">
        <v>359</v>
      </c>
      <c r="E85" s="10" t="s">
        <v>69</v>
      </c>
      <c r="F85" s="10" t="s">
        <v>69</v>
      </c>
      <c r="G85" s="10" t="s">
        <v>38</v>
      </c>
      <c r="H85" s="10" t="s">
        <v>38</v>
      </c>
      <c r="I85" s="10" t="s">
        <v>49</v>
      </c>
      <c r="J85" s="11" t="s">
        <v>360</v>
      </c>
      <c r="K85" s="12"/>
      <c r="L85" s="13"/>
    </row>
    <row r="86" customFormat="false" ht="15" hidden="false" customHeight="false" outlineLevel="0" collapsed="false">
      <c r="A86" s="6" t="s">
        <v>361</v>
      </c>
      <c r="B86" s="7" t="s">
        <v>346</v>
      </c>
      <c r="C86" s="8" t="s">
        <v>362</v>
      </c>
      <c r="D86" s="9" t="s">
        <v>363</v>
      </c>
      <c r="E86" s="10" t="s">
        <v>38</v>
      </c>
      <c r="F86" s="10" t="s">
        <v>38</v>
      </c>
      <c r="G86" s="10" t="s">
        <v>38</v>
      </c>
      <c r="H86" s="10" t="s">
        <v>38</v>
      </c>
      <c r="I86" s="10" t="s">
        <v>49</v>
      </c>
      <c r="J86" s="11"/>
      <c r="K86" s="12"/>
      <c r="L86" s="13"/>
    </row>
    <row r="87" customFormat="false" ht="15" hidden="false" customHeight="false" outlineLevel="0" collapsed="false">
      <c r="A87" s="6" t="s">
        <v>364</v>
      </c>
      <c r="B87" s="7" t="s">
        <v>346</v>
      </c>
      <c r="C87" s="8" t="s">
        <v>365</v>
      </c>
      <c r="D87" s="9" t="s">
        <v>366</v>
      </c>
      <c r="E87" s="10" t="s">
        <v>38</v>
      </c>
      <c r="F87" s="10" t="s">
        <v>38</v>
      </c>
      <c r="G87" s="10" t="s">
        <v>38</v>
      </c>
      <c r="H87" s="10" t="s">
        <v>69</v>
      </c>
      <c r="I87" s="10" t="s">
        <v>44</v>
      </c>
      <c r="J87" s="11" t="s">
        <v>367</v>
      </c>
      <c r="K87" s="12"/>
      <c r="L87" s="13"/>
    </row>
    <row r="88" customFormat="false" ht="15" hidden="false" customHeight="false" outlineLevel="0" collapsed="false">
      <c r="A88" s="6" t="s">
        <v>368</v>
      </c>
      <c r="B88" s="7" t="s">
        <v>346</v>
      </c>
      <c r="C88" s="8" t="s">
        <v>369</v>
      </c>
      <c r="D88" s="9" t="s">
        <v>370</v>
      </c>
      <c r="E88" s="10" t="s">
        <v>38</v>
      </c>
      <c r="F88" s="10" t="s">
        <v>53</v>
      </c>
      <c r="G88" s="10" t="s">
        <v>38</v>
      </c>
      <c r="H88" s="10" t="s">
        <v>69</v>
      </c>
      <c r="I88" s="10" t="s">
        <v>49</v>
      </c>
      <c r="J88" s="11"/>
      <c r="K88" s="12"/>
      <c r="L88" s="13"/>
    </row>
    <row r="89" customFormat="false" ht="15" hidden="false" customHeight="false" outlineLevel="0" collapsed="false">
      <c r="A89" s="6" t="s">
        <v>371</v>
      </c>
      <c r="B89" s="7" t="s">
        <v>346</v>
      </c>
      <c r="C89" s="8" t="s">
        <v>372</v>
      </c>
      <c r="D89" s="9" t="s">
        <v>373</v>
      </c>
      <c r="E89" s="10" t="s">
        <v>38</v>
      </c>
      <c r="F89" s="10" t="s">
        <v>53</v>
      </c>
      <c r="G89" s="10" t="s">
        <v>38</v>
      </c>
      <c r="H89" s="10" t="s">
        <v>69</v>
      </c>
      <c r="I89" s="10" t="s">
        <v>49</v>
      </c>
      <c r="J89" s="11"/>
      <c r="K89" s="12"/>
      <c r="L89" s="13"/>
    </row>
    <row r="90" customFormat="false" ht="15" hidden="false" customHeight="false" outlineLevel="0" collapsed="false">
      <c r="A90" s="6" t="s">
        <v>374</v>
      </c>
      <c r="B90" s="7" t="s">
        <v>346</v>
      </c>
      <c r="C90" s="8" t="s">
        <v>375</v>
      </c>
      <c r="D90" s="9" t="s">
        <v>376</v>
      </c>
      <c r="E90" s="10" t="s">
        <v>38</v>
      </c>
      <c r="F90" s="10" t="s">
        <v>53</v>
      </c>
      <c r="G90" s="10" t="s">
        <v>53</v>
      </c>
      <c r="H90" s="10" t="s">
        <v>69</v>
      </c>
      <c r="I90" s="10" t="s">
        <v>49</v>
      </c>
      <c r="J90" s="11"/>
      <c r="K90" s="12"/>
      <c r="L90" s="13"/>
    </row>
    <row r="91" customFormat="false" ht="15" hidden="false" customHeight="false" outlineLevel="0" collapsed="false">
      <c r="A91" s="6" t="s">
        <v>377</v>
      </c>
      <c r="B91" s="7" t="s">
        <v>346</v>
      </c>
      <c r="C91" s="8" t="s">
        <v>378</v>
      </c>
      <c r="D91" s="9" t="s">
        <v>379</v>
      </c>
      <c r="E91" s="10" t="s">
        <v>38</v>
      </c>
      <c r="F91" s="10" t="s">
        <v>38</v>
      </c>
      <c r="G91" s="10" t="s">
        <v>38</v>
      </c>
      <c r="H91" s="10" t="s">
        <v>38</v>
      </c>
      <c r="I91" s="10" t="s">
        <v>53</v>
      </c>
      <c r="J91" s="11" t="s">
        <v>380</v>
      </c>
      <c r="K91" s="12"/>
      <c r="L91" s="13"/>
    </row>
    <row r="92" customFormat="false" ht="15" hidden="false" customHeight="false" outlineLevel="0" collapsed="false">
      <c r="A92" s="6" t="s">
        <v>381</v>
      </c>
      <c r="B92" s="7" t="s">
        <v>382</v>
      </c>
      <c r="C92" s="8" t="s">
        <v>383</v>
      </c>
      <c r="D92" s="9" t="s">
        <v>384</v>
      </c>
      <c r="E92" s="10" t="s">
        <v>69</v>
      </c>
      <c r="F92" s="10" t="s">
        <v>69</v>
      </c>
      <c r="G92" s="10" t="s">
        <v>69</v>
      </c>
      <c r="H92" s="10" t="s">
        <v>38</v>
      </c>
      <c r="I92" s="10" t="s">
        <v>49</v>
      </c>
      <c r="J92" s="11" t="s">
        <v>385</v>
      </c>
      <c r="K92" s="12"/>
      <c r="L92" s="13"/>
    </row>
    <row r="93" customFormat="false" ht="15" hidden="false" customHeight="false" outlineLevel="0" collapsed="false">
      <c r="A93" s="6" t="s">
        <v>386</v>
      </c>
      <c r="B93" s="7" t="s">
        <v>382</v>
      </c>
      <c r="C93" s="8" t="s">
        <v>387</v>
      </c>
      <c r="D93" s="9" t="s">
        <v>388</v>
      </c>
      <c r="E93" s="10" t="s">
        <v>69</v>
      </c>
      <c r="F93" s="10" t="s">
        <v>69</v>
      </c>
      <c r="G93" s="10" t="s">
        <v>69</v>
      </c>
      <c r="H93" s="10" t="s">
        <v>38</v>
      </c>
      <c r="I93" s="10" t="s">
        <v>49</v>
      </c>
      <c r="J93" s="11"/>
      <c r="K93" s="12"/>
      <c r="L93" s="13"/>
    </row>
    <row r="94" customFormat="false" ht="22.35" hidden="false" customHeight="false" outlineLevel="0" collapsed="false">
      <c r="A94" s="6" t="s">
        <v>389</v>
      </c>
      <c r="B94" s="7" t="s">
        <v>382</v>
      </c>
      <c r="C94" s="8" t="s">
        <v>390</v>
      </c>
      <c r="D94" s="9" t="s">
        <v>391</v>
      </c>
      <c r="E94" s="10" t="s">
        <v>69</v>
      </c>
      <c r="F94" s="10" t="s">
        <v>69</v>
      </c>
      <c r="G94" s="10" t="s">
        <v>69</v>
      </c>
      <c r="H94" s="10" t="s">
        <v>38</v>
      </c>
      <c r="I94" s="10" t="s">
        <v>49</v>
      </c>
      <c r="J94" s="11" t="s">
        <v>392</v>
      </c>
      <c r="K94" s="12"/>
      <c r="L94" s="13"/>
    </row>
    <row r="95" customFormat="false" ht="15" hidden="false" customHeight="false" outlineLevel="0" collapsed="false">
      <c r="A95" s="6" t="s">
        <v>393</v>
      </c>
      <c r="B95" s="7" t="s">
        <v>382</v>
      </c>
      <c r="C95" s="8" t="s">
        <v>394</v>
      </c>
      <c r="D95" s="9" t="s">
        <v>395</v>
      </c>
      <c r="E95" s="10" t="s">
        <v>69</v>
      </c>
      <c r="F95" s="10" t="s">
        <v>53</v>
      </c>
      <c r="G95" s="10" t="s">
        <v>53</v>
      </c>
      <c r="H95" s="10" t="s">
        <v>38</v>
      </c>
      <c r="I95" s="10" t="s">
        <v>49</v>
      </c>
      <c r="J95" s="11" t="s">
        <v>396</v>
      </c>
      <c r="K95" s="12"/>
      <c r="L95" s="13"/>
    </row>
    <row r="96" customFormat="false" ht="15" hidden="false" customHeight="false" outlineLevel="0" collapsed="false">
      <c r="A96" s="6" t="s">
        <v>397</v>
      </c>
      <c r="B96" s="7" t="s">
        <v>382</v>
      </c>
      <c r="C96" s="8" t="s">
        <v>398</v>
      </c>
      <c r="D96" s="9" t="s">
        <v>399</v>
      </c>
      <c r="E96" s="10" t="s">
        <v>38</v>
      </c>
      <c r="F96" s="10" t="s">
        <v>53</v>
      </c>
      <c r="G96" s="10" t="s">
        <v>53</v>
      </c>
      <c r="H96" s="10" t="s">
        <v>38</v>
      </c>
      <c r="I96" s="10" t="s">
        <v>49</v>
      </c>
      <c r="J96" s="11" t="s">
        <v>400</v>
      </c>
      <c r="K96" s="12"/>
      <c r="L96" s="13"/>
    </row>
    <row r="97" customFormat="false" ht="15" hidden="false" customHeight="false" outlineLevel="0" collapsed="false">
      <c r="A97" s="6" t="s">
        <v>401</v>
      </c>
      <c r="B97" s="7" t="s">
        <v>382</v>
      </c>
      <c r="C97" s="8" t="s">
        <v>402</v>
      </c>
      <c r="D97" s="9" t="s">
        <v>403</v>
      </c>
      <c r="E97" s="10" t="s">
        <v>38</v>
      </c>
      <c r="F97" s="10" t="s">
        <v>53</v>
      </c>
      <c r="G97" s="10" t="s">
        <v>53</v>
      </c>
      <c r="H97" s="10" t="s">
        <v>38</v>
      </c>
      <c r="I97" s="10" t="s">
        <v>49</v>
      </c>
      <c r="J97" s="11"/>
      <c r="K97" s="12"/>
      <c r="L97" s="13"/>
    </row>
    <row r="98" customFormat="false" ht="15" hidden="false" customHeight="false" outlineLevel="0" collapsed="false">
      <c r="A98" s="6" t="s">
        <v>404</v>
      </c>
      <c r="B98" s="7" t="s">
        <v>382</v>
      </c>
      <c r="C98" s="8" t="s">
        <v>405</v>
      </c>
      <c r="D98" s="9" t="s">
        <v>406</v>
      </c>
      <c r="E98" s="10" t="s">
        <v>38</v>
      </c>
      <c r="F98" s="10" t="s">
        <v>53</v>
      </c>
      <c r="G98" s="10" t="s">
        <v>53</v>
      </c>
      <c r="H98" s="10" t="s">
        <v>38</v>
      </c>
      <c r="I98" s="10" t="s">
        <v>49</v>
      </c>
      <c r="J98" s="11" t="s">
        <v>407</v>
      </c>
      <c r="K98" s="12"/>
      <c r="L98" s="13"/>
    </row>
    <row r="99" customFormat="false" ht="15" hidden="false" customHeight="false" outlineLevel="0" collapsed="false">
      <c r="A99" s="6" t="s">
        <v>408</v>
      </c>
      <c r="B99" s="7" t="s">
        <v>382</v>
      </c>
      <c r="C99" s="8" t="s">
        <v>409</v>
      </c>
      <c r="D99" s="9" t="s">
        <v>410</v>
      </c>
      <c r="E99" s="10" t="s">
        <v>38</v>
      </c>
      <c r="F99" s="10" t="s">
        <v>38</v>
      </c>
      <c r="G99" s="10" t="s">
        <v>38</v>
      </c>
      <c r="H99" s="10" t="s">
        <v>38</v>
      </c>
      <c r="I99" s="10" t="s">
        <v>49</v>
      </c>
      <c r="J99" s="11"/>
      <c r="K99" s="12"/>
      <c r="L99" s="13"/>
    </row>
    <row r="100" customFormat="false" ht="15" hidden="false" customHeight="false" outlineLevel="0" collapsed="false">
      <c r="A100" s="6" t="s">
        <v>411</v>
      </c>
      <c r="B100" s="7" t="s">
        <v>382</v>
      </c>
      <c r="C100" s="8" t="s">
        <v>412</v>
      </c>
      <c r="D100" s="9" t="s">
        <v>413</v>
      </c>
      <c r="E100" s="10" t="s">
        <v>38</v>
      </c>
      <c r="F100" s="10" t="s">
        <v>53</v>
      </c>
      <c r="G100" s="10" t="s">
        <v>53</v>
      </c>
      <c r="H100" s="10" t="s">
        <v>53</v>
      </c>
      <c r="I100" s="10" t="s">
        <v>49</v>
      </c>
      <c r="J100" s="11"/>
      <c r="K100" s="12"/>
      <c r="L100" s="13"/>
    </row>
    <row r="101" customFormat="false" ht="15" hidden="false" customHeight="false" outlineLevel="0" collapsed="false">
      <c r="A101" s="6" t="s">
        <v>414</v>
      </c>
      <c r="B101" s="7" t="s">
        <v>415</v>
      </c>
      <c r="C101" s="8" t="s">
        <v>416</v>
      </c>
      <c r="D101" s="9" t="s">
        <v>417</v>
      </c>
      <c r="E101" s="10" t="s">
        <v>38</v>
      </c>
      <c r="F101" s="10" t="s">
        <v>38</v>
      </c>
      <c r="G101" s="10" t="s">
        <v>38</v>
      </c>
      <c r="H101" s="10" t="s">
        <v>38</v>
      </c>
      <c r="I101" s="10" t="s">
        <v>49</v>
      </c>
      <c r="J101" s="11" t="s">
        <v>418</v>
      </c>
      <c r="K101" s="12"/>
      <c r="L101" s="13"/>
    </row>
    <row r="102" customFormat="false" ht="15" hidden="false" customHeight="false" outlineLevel="0" collapsed="false">
      <c r="A102" s="6" t="s">
        <v>419</v>
      </c>
      <c r="B102" s="7" t="s">
        <v>415</v>
      </c>
      <c r="C102" s="8" t="s">
        <v>420</v>
      </c>
      <c r="D102" s="9" t="s">
        <v>421</v>
      </c>
      <c r="E102" s="10" t="s">
        <v>38</v>
      </c>
      <c r="F102" s="10" t="s">
        <v>53</v>
      </c>
      <c r="G102" s="10" t="s">
        <v>38</v>
      </c>
      <c r="H102" s="10" t="s">
        <v>69</v>
      </c>
      <c r="I102" s="10" t="s">
        <v>39</v>
      </c>
      <c r="J102" s="11" t="s">
        <v>422</v>
      </c>
      <c r="K102" s="12"/>
      <c r="L102" s="13"/>
    </row>
    <row r="103" customFormat="false" ht="15" hidden="false" customHeight="false" outlineLevel="0" collapsed="false">
      <c r="A103" s="6" t="s">
        <v>423</v>
      </c>
      <c r="B103" s="7" t="s">
        <v>415</v>
      </c>
      <c r="C103" s="8" t="s">
        <v>424</v>
      </c>
      <c r="D103" s="9" t="s">
        <v>425</v>
      </c>
      <c r="E103" s="10" t="s">
        <v>38</v>
      </c>
      <c r="F103" s="10" t="s">
        <v>69</v>
      </c>
      <c r="G103" s="10" t="s">
        <v>38</v>
      </c>
      <c r="H103" s="10" t="s">
        <v>69</v>
      </c>
      <c r="I103" s="10" t="s">
        <v>49</v>
      </c>
      <c r="J103" s="11"/>
      <c r="K103" s="12"/>
      <c r="L103" s="13"/>
    </row>
    <row r="104" customFormat="false" ht="15" hidden="false" customHeight="false" outlineLevel="0" collapsed="false">
      <c r="A104" s="6" t="s">
        <v>426</v>
      </c>
      <c r="B104" s="7" t="s">
        <v>415</v>
      </c>
      <c r="C104" s="8" t="s">
        <v>427</v>
      </c>
      <c r="D104" s="9" t="s">
        <v>428</v>
      </c>
      <c r="E104" s="10" t="s">
        <v>53</v>
      </c>
      <c r="F104" s="10" t="s">
        <v>69</v>
      </c>
      <c r="G104" s="10" t="s">
        <v>38</v>
      </c>
      <c r="H104" s="10" t="s">
        <v>69</v>
      </c>
      <c r="I104" s="10" t="s">
        <v>49</v>
      </c>
      <c r="J104" s="11"/>
      <c r="K104" s="12"/>
      <c r="L104" s="13"/>
    </row>
    <row r="105" customFormat="false" ht="15" hidden="false" customHeight="false" outlineLevel="0" collapsed="false">
      <c r="A105" s="6" t="s">
        <v>429</v>
      </c>
      <c r="B105" s="7" t="s">
        <v>415</v>
      </c>
      <c r="C105" s="8" t="s">
        <v>430</v>
      </c>
      <c r="D105" s="9" t="s">
        <v>431</v>
      </c>
      <c r="E105" s="10" t="s">
        <v>38</v>
      </c>
      <c r="F105" s="10" t="s">
        <v>69</v>
      </c>
      <c r="G105" s="10" t="s">
        <v>38</v>
      </c>
      <c r="H105" s="10" t="s">
        <v>69</v>
      </c>
      <c r="I105" s="10" t="s">
        <v>49</v>
      </c>
      <c r="J105" s="11"/>
      <c r="K105" s="12"/>
      <c r="L105" s="13"/>
    </row>
    <row r="106" customFormat="false" ht="15" hidden="false" customHeight="false" outlineLevel="0" collapsed="false">
      <c r="A106" s="6" t="s">
        <v>432</v>
      </c>
      <c r="B106" s="7" t="s">
        <v>415</v>
      </c>
      <c r="C106" s="8" t="s">
        <v>433</v>
      </c>
      <c r="D106" s="9" t="s">
        <v>434</v>
      </c>
      <c r="E106" s="10" t="s">
        <v>38</v>
      </c>
      <c r="F106" s="10" t="s">
        <v>69</v>
      </c>
      <c r="G106" s="10" t="s">
        <v>53</v>
      </c>
      <c r="H106" s="10" t="s">
        <v>69</v>
      </c>
      <c r="I106" s="10" t="s">
        <v>49</v>
      </c>
      <c r="J106" s="11"/>
      <c r="K106" s="12"/>
      <c r="L106" s="13"/>
    </row>
    <row r="107" customFormat="false" ht="15" hidden="false" customHeight="false" outlineLevel="0" collapsed="false">
      <c r="A107" s="6" t="s">
        <v>435</v>
      </c>
      <c r="B107" s="7" t="s">
        <v>415</v>
      </c>
      <c r="C107" s="8" t="s">
        <v>436</v>
      </c>
      <c r="D107" s="9" t="s">
        <v>437</v>
      </c>
      <c r="E107" s="10" t="s">
        <v>38</v>
      </c>
      <c r="F107" s="10" t="s">
        <v>53</v>
      </c>
      <c r="G107" s="10" t="s">
        <v>53</v>
      </c>
      <c r="H107" s="10" t="s">
        <v>69</v>
      </c>
      <c r="I107" s="10" t="s">
        <v>49</v>
      </c>
      <c r="J107" s="11" t="s">
        <v>438</v>
      </c>
      <c r="K107" s="12"/>
      <c r="L107" s="13"/>
    </row>
    <row r="108" customFormat="false" ht="15" hidden="false" customHeight="false" outlineLevel="0" collapsed="false">
      <c r="A108" s="6" t="s">
        <v>439</v>
      </c>
      <c r="B108" s="7" t="s">
        <v>415</v>
      </c>
      <c r="C108" s="8" t="s">
        <v>440</v>
      </c>
      <c r="D108" s="9" t="s">
        <v>441</v>
      </c>
      <c r="E108" s="10" t="s">
        <v>69</v>
      </c>
      <c r="F108" s="10" t="s">
        <v>69</v>
      </c>
      <c r="G108" s="10" t="s">
        <v>38</v>
      </c>
      <c r="H108" s="10" t="s">
        <v>69</v>
      </c>
      <c r="I108" s="10" t="s">
        <v>49</v>
      </c>
      <c r="J108" s="11"/>
      <c r="K108" s="12"/>
      <c r="L108" s="13"/>
    </row>
    <row r="109" customFormat="false" ht="15" hidden="false" customHeight="false" outlineLevel="0" collapsed="false">
      <c r="A109" s="6" t="s">
        <v>442</v>
      </c>
      <c r="B109" s="7" t="s">
        <v>443</v>
      </c>
      <c r="C109" s="8" t="s">
        <v>444</v>
      </c>
      <c r="D109" s="9" t="s">
        <v>445</v>
      </c>
      <c r="E109" s="10" t="s">
        <v>38</v>
      </c>
      <c r="F109" s="10" t="s">
        <v>38</v>
      </c>
      <c r="G109" s="10" t="s">
        <v>38</v>
      </c>
      <c r="H109" s="10" t="s">
        <v>38</v>
      </c>
      <c r="I109" s="10" t="s">
        <v>39</v>
      </c>
      <c r="J109" s="11" t="s">
        <v>446</v>
      </c>
      <c r="K109" s="12"/>
      <c r="L109" s="13"/>
    </row>
    <row r="110" customFormat="false" ht="15" hidden="false" customHeight="false" outlineLevel="0" collapsed="false">
      <c r="A110" s="6" t="s">
        <v>447</v>
      </c>
      <c r="B110" s="7" t="s">
        <v>443</v>
      </c>
      <c r="C110" s="8" t="s">
        <v>448</v>
      </c>
      <c r="D110" s="9" t="s">
        <v>449</v>
      </c>
      <c r="E110" s="10" t="s">
        <v>38</v>
      </c>
      <c r="F110" s="10" t="s">
        <v>38</v>
      </c>
      <c r="G110" s="10" t="s">
        <v>38</v>
      </c>
      <c r="H110" s="10" t="s">
        <v>53</v>
      </c>
      <c r="I110" s="10" t="s">
        <v>49</v>
      </c>
      <c r="J110" s="11" t="s">
        <v>450</v>
      </c>
      <c r="K110" s="12"/>
      <c r="L110" s="13"/>
    </row>
    <row r="111" customFormat="false" ht="15" hidden="false" customHeight="false" outlineLevel="0" collapsed="false">
      <c r="A111" s="6" t="s">
        <v>451</v>
      </c>
      <c r="B111" s="7" t="s">
        <v>443</v>
      </c>
      <c r="C111" s="8" t="s">
        <v>452</v>
      </c>
      <c r="D111" s="9" t="s">
        <v>453</v>
      </c>
      <c r="E111" s="10" t="s">
        <v>38</v>
      </c>
      <c r="F111" s="10" t="s">
        <v>38</v>
      </c>
      <c r="G111" s="10" t="s">
        <v>38</v>
      </c>
      <c r="H111" s="10" t="s">
        <v>38</v>
      </c>
      <c r="I111" s="10" t="s">
        <v>49</v>
      </c>
      <c r="J111" s="11"/>
      <c r="K111" s="12"/>
      <c r="L111" s="13"/>
    </row>
    <row r="112" customFormat="false" ht="15" hidden="false" customHeight="false" outlineLevel="0" collapsed="false">
      <c r="A112" s="6" t="s">
        <v>454</v>
      </c>
      <c r="B112" s="7" t="s">
        <v>443</v>
      </c>
      <c r="C112" s="8" t="s">
        <v>455</v>
      </c>
      <c r="D112" s="9" t="s">
        <v>456</v>
      </c>
      <c r="E112" s="10" t="s">
        <v>38</v>
      </c>
      <c r="F112" s="10" t="s">
        <v>38</v>
      </c>
      <c r="G112" s="10" t="s">
        <v>38</v>
      </c>
      <c r="H112" s="10" t="s">
        <v>38</v>
      </c>
      <c r="I112" s="10" t="s">
        <v>49</v>
      </c>
      <c r="J112" s="11"/>
      <c r="K112" s="12"/>
      <c r="L112" s="13"/>
    </row>
    <row r="113" customFormat="false" ht="15" hidden="false" customHeight="false" outlineLevel="0" collapsed="false">
      <c r="A113" s="6" t="s">
        <v>457</v>
      </c>
      <c r="B113" s="7" t="s">
        <v>443</v>
      </c>
      <c r="C113" s="8" t="s">
        <v>458</v>
      </c>
      <c r="D113" s="9" t="s">
        <v>459</v>
      </c>
      <c r="E113" s="10" t="s">
        <v>53</v>
      </c>
      <c r="F113" s="10" t="s">
        <v>38</v>
      </c>
      <c r="G113" s="10" t="s">
        <v>53</v>
      </c>
      <c r="H113" s="10" t="s">
        <v>53</v>
      </c>
      <c r="I113" s="10" t="s">
        <v>49</v>
      </c>
      <c r="J113" s="11"/>
      <c r="K113" s="12"/>
      <c r="L113" s="13"/>
    </row>
    <row r="114" customFormat="false" ht="15" hidden="false" customHeight="false" outlineLevel="0" collapsed="false">
      <c r="A114" s="6" t="s">
        <v>460</v>
      </c>
      <c r="B114" s="7" t="s">
        <v>443</v>
      </c>
      <c r="C114" s="8" t="s">
        <v>461</v>
      </c>
      <c r="D114" s="9" t="s">
        <v>462</v>
      </c>
      <c r="E114" s="10" t="s">
        <v>53</v>
      </c>
      <c r="F114" s="10" t="s">
        <v>38</v>
      </c>
      <c r="G114" s="10" t="s">
        <v>53</v>
      </c>
      <c r="H114" s="10" t="s">
        <v>69</v>
      </c>
      <c r="I114" s="10" t="s">
        <v>49</v>
      </c>
      <c r="J114" s="11"/>
      <c r="K114" s="12"/>
      <c r="L114" s="13"/>
    </row>
    <row r="115" customFormat="false" ht="15" hidden="false" customHeight="false" outlineLevel="0" collapsed="false">
      <c r="A115" s="6" t="s">
        <v>463</v>
      </c>
      <c r="B115" s="7" t="s">
        <v>443</v>
      </c>
      <c r="C115" s="8" t="s">
        <v>464</v>
      </c>
      <c r="D115" s="9" t="s">
        <v>465</v>
      </c>
      <c r="E115" s="10" t="s">
        <v>38</v>
      </c>
      <c r="F115" s="10" t="s">
        <v>38</v>
      </c>
      <c r="G115" s="10" t="s">
        <v>38</v>
      </c>
      <c r="H115" s="10" t="s">
        <v>53</v>
      </c>
      <c r="I115" s="10" t="s">
        <v>49</v>
      </c>
      <c r="J115" s="11" t="s">
        <v>466</v>
      </c>
      <c r="K115" s="12"/>
      <c r="L115" s="13"/>
    </row>
    <row r="116" customFormat="false" ht="15" hidden="false" customHeight="false" outlineLevel="0" collapsed="false">
      <c r="A116" s="6" t="s">
        <v>467</v>
      </c>
      <c r="B116" s="7" t="s">
        <v>468</v>
      </c>
      <c r="C116" s="8" t="s">
        <v>469</v>
      </c>
      <c r="D116" s="9" t="s">
        <v>470</v>
      </c>
      <c r="E116" s="10" t="s">
        <v>38</v>
      </c>
      <c r="F116" s="10" t="s">
        <v>38</v>
      </c>
      <c r="G116" s="10" t="s">
        <v>38</v>
      </c>
      <c r="H116" s="10" t="s">
        <v>38</v>
      </c>
      <c r="I116" s="10" t="s">
        <v>39</v>
      </c>
      <c r="J116" s="11" t="s">
        <v>471</v>
      </c>
      <c r="K116" s="12"/>
      <c r="L116" s="13"/>
    </row>
    <row r="117" customFormat="false" ht="15" hidden="false" customHeight="false" outlineLevel="0" collapsed="false">
      <c r="A117" s="6" t="s">
        <v>472</v>
      </c>
      <c r="B117" s="7" t="s">
        <v>468</v>
      </c>
      <c r="C117" s="8" t="s">
        <v>473</v>
      </c>
      <c r="D117" s="9" t="s">
        <v>474</v>
      </c>
      <c r="E117" s="10" t="s">
        <v>53</v>
      </c>
      <c r="F117" s="10" t="s">
        <v>53</v>
      </c>
      <c r="G117" s="10" t="s">
        <v>53</v>
      </c>
      <c r="H117" s="10" t="s">
        <v>69</v>
      </c>
      <c r="I117" s="10" t="s">
        <v>49</v>
      </c>
      <c r="J117" s="11" t="s">
        <v>475</v>
      </c>
      <c r="K117" s="12"/>
      <c r="L117" s="13"/>
    </row>
    <row r="118" customFormat="false" ht="15" hidden="false" customHeight="false" outlineLevel="0" collapsed="false">
      <c r="A118" s="6" t="s">
        <v>476</v>
      </c>
      <c r="B118" s="7" t="s">
        <v>468</v>
      </c>
      <c r="C118" s="8" t="s">
        <v>477</v>
      </c>
      <c r="D118" s="9" t="s">
        <v>478</v>
      </c>
      <c r="E118" s="10" t="s">
        <v>38</v>
      </c>
      <c r="F118" s="10" t="s">
        <v>53</v>
      </c>
      <c r="G118" s="10" t="s">
        <v>38</v>
      </c>
      <c r="H118" s="10" t="s">
        <v>69</v>
      </c>
      <c r="I118" s="10" t="s">
        <v>49</v>
      </c>
      <c r="J118" s="11" t="s">
        <v>475</v>
      </c>
      <c r="K118" s="12"/>
      <c r="L118" s="13"/>
    </row>
    <row r="119" customFormat="false" ht="15" hidden="false" customHeight="false" outlineLevel="0" collapsed="false">
      <c r="A119" s="6" t="s">
        <v>479</v>
      </c>
      <c r="B119" s="7" t="s">
        <v>468</v>
      </c>
      <c r="C119" s="8" t="s">
        <v>480</v>
      </c>
      <c r="D119" s="9" t="s">
        <v>481</v>
      </c>
      <c r="E119" s="10" t="s">
        <v>38</v>
      </c>
      <c r="F119" s="10" t="s">
        <v>38</v>
      </c>
      <c r="G119" s="10" t="s">
        <v>38</v>
      </c>
      <c r="H119" s="10" t="s">
        <v>38</v>
      </c>
      <c r="I119" s="10" t="s">
        <v>482</v>
      </c>
      <c r="J119" s="11" t="s">
        <v>483</v>
      </c>
      <c r="K119" s="12"/>
      <c r="L119" s="13"/>
    </row>
    <row r="120" customFormat="false" ht="15" hidden="false" customHeight="false" outlineLevel="0" collapsed="false">
      <c r="A120" s="6" t="s">
        <v>484</v>
      </c>
      <c r="B120" s="7" t="s">
        <v>468</v>
      </c>
      <c r="C120" s="8" t="s">
        <v>485</v>
      </c>
      <c r="D120" s="9" t="s">
        <v>486</v>
      </c>
      <c r="E120" s="10" t="s">
        <v>38</v>
      </c>
      <c r="F120" s="10" t="s">
        <v>38</v>
      </c>
      <c r="G120" s="10" t="s">
        <v>38</v>
      </c>
      <c r="H120" s="10" t="s">
        <v>53</v>
      </c>
      <c r="I120" s="10" t="s">
        <v>49</v>
      </c>
      <c r="J120" s="11" t="s">
        <v>487</v>
      </c>
      <c r="K120" s="12"/>
      <c r="L120" s="13"/>
    </row>
    <row r="121" customFormat="false" ht="15" hidden="false" customHeight="false" outlineLevel="0" collapsed="false">
      <c r="A121" s="6" t="s">
        <v>488</v>
      </c>
      <c r="B121" s="7" t="s">
        <v>468</v>
      </c>
      <c r="C121" s="8" t="s">
        <v>489</v>
      </c>
      <c r="D121" s="9" t="s">
        <v>490</v>
      </c>
      <c r="E121" s="10" t="s">
        <v>38</v>
      </c>
      <c r="F121" s="10" t="s">
        <v>38</v>
      </c>
      <c r="G121" s="10" t="s">
        <v>38</v>
      </c>
      <c r="H121" s="10" t="s">
        <v>38</v>
      </c>
      <c r="I121" s="10" t="s">
        <v>49</v>
      </c>
      <c r="J121" s="11" t="s">
        <v>491</v>
      </c>
      <c r="K121" s="12"/>
      <c r="L121" s="13"/>
    </row>
    <row r="122" customFormat="false" ht="15" hidden="false" customHeight="false" outlineLevel="0" collapsed="false">
      <c r="A122" s="6" t="s">
        <v>492</v>
      </c>
      <c r="B122" s="7" t="s">
        <v>468</v>
      </c>
      <c r="C122" s="8" t="s">
        <v>493</v>
      </c>
      <c r="D122" s="9" t="s">
        <v>494</v>
      </c>
      <c r="E122" s="10" t="s">
        <v>38</v>
      </c>
      <c r="F122" s="10" t="s">
        <v>53</v>
      </c>
      <c r="G122" s="10" t="s">
        <v>53</v>
      </c>
      <c r="H122" s="10" t="s">
        <v>38</v>
      </c>
      <c r="I122" s="10" t="s">
        <v>49</v>
      </c>
      <c r="J122" s="11"/>
      <c r="K122" s="12"/>
      <c r="L122" s="13"/>
    </row>
    <row r="123" customFormat="false" ht="15" hidden="false" customHeight="false" outlineLevel="0" collapsed="false">
      <c r="A123" s="6" t="s">
        <v>495</v>
      </c>
      <c r="B123" s="7" t="s">
        <v>468</v>
      </c>
      <c r="C123" s="8" t="s">
        <v>496</v>
      </c>
      <c r="D123" s="9" t="s">
        <v>497</v>
      </c>
      <c r="E123" s="10" t="s">
        <v>69</v>
      </c>
      <c r="F123" s="10" t="s">
        <v>69</v>
      </c>
      <c r="G123" s="10" t="s">
        <v>69</v>
      </c>
      <c r="H123" s="10" t="s">
        <v>38</v>
      </c>
      <c r="I123" s="10" t="s">
        <v>482</v>
      </c>
      <c r="J123" s="11" t="s">
        <v>498</v>
      </c>
      <c r="K123" s="12"/>
      <c r="L123" s="13"/>
    </row>
  </sheetData>
  <autoFilter ref="A1:L123"/>
  <conditionalFormatting sqref="K2:K123">
    <cfRule type="cellIs" priority="2" operator="equal" aboveAverage="0" equalAverage="0" bottom="0" percent="0" rank="0" text="" dxfId="10">
      <formula>"Must have"</formula>
    </cfRule>
    <cfRule type="cellIs" priority="3" operator="equal" aboveAverage="0" equalAverage="0" bottom="0" percent="0" rank="0" text="" dxfId="11">
      <formula>"Nice to have"</formula>
    </cfRule>
    <cfRule type="cellIs" priority="4" operator="equal" aboveAverage="0" equalAverage="0" bottom="0" percent="0" rank="0" text="" dxfId="12">
      <formula>"Not for us"</formula>
    </cfRule>
  </conditionalFormatting>
  <conditionalFormatting sqref="E2:E123">
    <cfRule type="cellIs" priority="5" operator="equal" aboveAverage="0" equalAverage="0" bottom="0" percent="0" rank="0" text="" dxfId="13">
      <formula>"Yes"</formula>
    </cfRule>
    <cfRule type="cellIs" priority="6" operator="equal" aboveAverage="0" equalAverage="0" bottom="0" percent="0" rank="0" text="" dxfId="14">
      <formula>"No"</formula>
    </cfRule>
  </conditionalFormatting>
  <conditionalFormatting sqref="F2:F123">
    <cfRule type="cellIs" priority="7" operator="equal" aboveAverage="0" equalAverage="0" bottom="0" percent="0" rank="0" text="" dxfId="13">
      <formula>"Yes"</formula>
    </cfRule>
    <cfRule type="cellIs" priority="8" operator="equal" aboveAverage="0" equalAverage="0" bottom="0" percent="0" rank="0" text="" dxfId="14">
      <formula>"No"</formula>
    </cfRule>
  </conditionalFormatting>
  <conditionalFormatting sqref="G2:G123">
    <cfRule type="cellIs" priority="9" operator="equal" aboveAverage="0" equalAverage="0" bottom="0" percent="0" rank="0" text="" dxfId="13">
      <formula>"Yes"</formula>
    </cfRule>
    <cfRule type="cellIs" priority="10" operator="equal" aboveAverage="0" equalAverage="0" bottom="0" percent="0" rank="0" text="" dxfId="14">
      <formula>"No"</formula>
    </cfRule>
  </conditionalFormatting>
  <conditionalFormatting sqref="H2:H123">
    <cfRule type="cellIs" priority="11" operator="equal" aboveAverage="0" equalAverage="0" bottom="0" percent="0" rank="0" text="" dxfId="13">
      <formula>"Yes"</formula>
    </cfRule>
    <cfRule type="cellIs" priority="12" operator="equal" aboveAverage="0" equalAverage="0" bottom="0" percent="0" rank="0" text="" dxfId="14">
      <formula>"No"</formula>
    </cfRule>
  </conditionalFormatting>
  <conditionalFormatting sqref="I2:I123">
    <cfRule type="cellIs" priority="13" operator="equal" aboveAverage="0" equalAverage="0" bottom="0" percent="0" rank="0" text="" dxfId="15">
      <formula>"Built"</formula>
    </cfRule>
    <cfRule type="cellIs" priority="14" operator="equal" aboveAverage="0" equalAverage="0" bottom="0" percent="0" rank="0" text="" dxfId="14">
      <formula>"Not yet"</formula>
    </cfRule>
  </conditionalFormatting>
  <dataValidations count="1">
    <dataValidation allowBlank="true" errorStyle="stop" operator="between" prompt="Must have / Nice to have / Not for us" promptTitle="Decision" showDropDown="false" showErrorMessage="false" showInputMessage="false" sqref="K2:K123" type="list">
      <formula1>"Must have,Nice to have,Not for us"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7"/>
  </cols>
  <sheetData>
    <row r="1" customFormat="false" ht="17.35" hidden="false" customHeight="false" outlineLevel="0" collapsed="false">
      <c r="A1" s="14" t="s">
        <v>499</v>
      </c>
    </row>
    <row r="2" customFormat="false" ht="15" hidden="false" customHeight="false" outlineLevel="0" collapsed="false">
      <c r="A2" s="15" t="s">
        <v>500</v>
      </c>
    </row>
    <row r="4" customFormat="false" ht="15" hidden="false" customHeight="false" outlineLevel="0" collapsed="false">
      <c r="A4" s="16" t="s">
        <v>32</v>
      </c>
      <c r="B4" s="16" t="s">
        <v>501</v>
      </c>
    </row>
    <row r="5" customFormat="false" ht="15" hidden="false" customHeight="false" outlineLevel="0" collapsed="false">
      <c r="A5" s="17" t="s">
        <v>502</v>
      </c>
      <c r="B5" s="17" t="n">
        <f aca="false">COUNTIF('Capability map'!$K$2:$K$123,A5)</f>
        <v>0</v>
      </c>
    </row>
    <row r="6" customFormat="false" ht="15" hidden="false" customHeight="false" outlineLevel="0" collapsed="false">
      <c r="A6" s="17" t="s">
        <v>503</v>
      </c>
      <c r="B6" s="17" t="n">
        <f aca="false">COUNTIF('Capability map'!$K$2:$K$123,A6)</f>
        <v>0</v>
      </c>
    </row>
    <row r="7" customFormat="false" ht="15" hidden="false" customHeight="false" outlineLevel="0" collapsed="false">
      <c r="A7" s="17" t="s">
        <v>504</v>
      </c>
      <c r="B7" s="17" t="n">
        <f aca="false">COUNTIF('Capability map'!$K$2:$K$123,A7)</f>
        <v>0</v>
      </c>
    </row>
    <row r="8" customFormat="false" ht="15" hidden="false" customHeight="false" outlineLevel="0" collapsed="false">
      <c r="A8" s="16" t="s">
        <v>505</v>
      </c>
      <c r="B8" s="16" t="n">
        <f aca="false">COUNTBLANK('Capability map'!$K$2:$K$123)</f>
        <v>122</v>
      </c>
    </row>
    <row r="9" customFormat="false" ht="15" hidden="false" customHeight="false" outlineLevel="0" collapsed="false">
      <c r="A9" s="16" t="s">
        <v>506</v>
      </c>
      <c r="B9" s="16" t="n">
        <f aca="false">COUNTA('Capability map'!$A$2:$A$123)</f>
        <v>122</v>
      </c>
    </row>
    <row r="11" customFormat="false" ht="15" hidden="false" customHeight="false" outlineLevel="0" collapsed="false">
      <c r="A11" s="18" t="s">
        <v>507</v>
      </c>
    </row>
    <row r="12" customFormat="false" ht="15" hidden="false" customHeight="false" outlineLevel="0" collapsed="false">
      <c r="A12" s="16" t="s">
        <v>24</v>
      </c>
      <c r="B12" s="16" t="s">
        <v>501</v>
      </c>
      <c r="C12" s="16" t="s">
        <v>502</v>
      </c>
      <c r="D12" s="16" t="s">
        <v>508</v>
      </c>
      <c r="E12" s="16" t="s">
        <v>509</v>
      </c>
    </row>
    <row r="13" customFormat="false" ht="15" hidden="false" customHeight="false" outlineLevel="0" collapsed="false">
      <c r="A13" s="17" t="s">
        <v>35</v>
      </c>
      <c r="B13" s="17" t="n">
        <f aca="false">COUNTIF('Capability map'!$B$2:$B$123,$A13)</f>
        <v>10</v>
      </c>
      <c r="C13" s="17" t="n">
        <f aca="false">COUNTIFS('Capability map'!$B$2:$B$123,$A13,'Capability map'!$K$2:$K$123,"Must have")</f>
        <v>0</v>
      </c>
      <c r="D13" s="17" t="n">
        <f aca="false">COUNTIFS('Capability map'!$B$2:$B$123,$A13,'Capability map'!$I$2:$I$123,"Built")</f>
        <v>3</v>
      </c>
      <c r="E13" s="17" t="n">
        <f aca="false">COUNTIFS('Capability map'!$B$2:$B$123,$A13,'Capability map'!$I$2:$I$123,"Not yet")</f>
        <v>4</v>
      </c>
    </row>
    <row r="14" customFormat="false" ht="15" hidden="false" customHeight="false" outlineLevel="0" collapsed="false">
      <c r="A14" s="17" t="s">
        <v>78</v>
      </c>
      <c r="B14" s="17" t="n">
        <f aca="false">COUNTIF('Capability map'!$B$2:$B$123,$A14)</f>
        <v>12</v>
      </c>
      <c r="C14" s="17" t="n">
        <f aca="false">COUNTIFS('Capability map'!$B$2:$B$123,$A14,'Capability map'!$K$2:$K$123,"Must have")</f>
        <v>0</v>
      </c>
      <c r="D14" s="17" t="n">
        <f aca="false">COUNTIFS('Capability map'!$B$2:$B$123,$A14,'Capability map'!$I$2:$I$123,"Built")</f>
        <v>9</v>
      </c>
      <c r="E14" s="17" t="n">
        <f aca="false">COUNTIFS('Capability map'!$B$2:$B$123,$A14,'Capability map'!$I$2:$I$123,"Not yet")</f>
        <v>3</v>
      </c>
    </row>
    <row r="15" customFormat="false" ht="15" hidden="false" customHeight="false" outlineLevel="0" collapsed="false">
      <c r="A15" s="17" t="s">
        <v>123</v>
      </c>
      <c r="B15" s="17" t="n">
        <f aca="false">COUNTIF('Capability map'!$B$2:$B$123,$A15)</f>
        <v>11</v>
      </c>
      <c r="C15" s="17" t="n">
        <f aca="false">COUNTIFS('Capability map'!$B$2:$B$123,$A15,'Capability map'!$K$2:$K$123,"Must have")</f>
        <v>0</v>
      </c>
      <c r="D15" s="17" t="n">
        <f aca="false">COUNTIFS('Capability map'!$B$2:$B$123,$A15,'Capability map'!$I$2:$I$123,"Built")</f>
        <v>4</v>
      </c>
      <c r="E15" s="17" t="n">
        <f aca="false">COUNTIFS('Capability map'!$B$2:$B$123,$A15,'Capability map'!$I$2:$I$123,"Not yet")</f>
        <v>4</v>
      </c>
    </row>
    <row r="16" customFormat="false" ht="15" hidden="false" customHeight="false" outlineLevel="0" collapsed="false">
      <c r="A16" s="17" t="s">
        <v>167</v>
      </c>
      <c r="B16" s="17" t="n">
        <f aca="false">COUNTIF('Capability map'!$B$2:$B$123,$A16)</f>
        <v>9</v>
      </c>
      <c r="C16" s="17" t="n">
        <f aca="false">COUNTIFS('Capability map'!$B$2:$B$123,$A16,'Capability map'!$K$2:$K$123,"Must have")</f>
        <v>0</v>
      </c>
      <c r="D16" s="17" t="n">
        <f aca="false">COUNTIFS('Capability map'!$B$2:$B$123,$A16,'Capability map'!$I$2:$I$123,"Built")</f>
        <v>3</v>
      </c>
      <c r="E16" s="17" t="n">
        <f aca="false">COUNTIFS('Capability map'!$B$2:$B$123,$A16,'Capability map'!$I$2:$I$123,"Not yet")</f>
        <v>5</v>
      </c>
    </row>
    <row r="17" customFormat="false" ht="15" hidden="false" customHeight="false" outlineLevel="0" collapsed="false">
      <c r="A17" s="17" t="s">
        <v>201</v>
      </c>
      <c r="B17" s="17" t="n">
        <f aca="false">COUNTIF('Capability map'!$B$2:$B$123,$A17)</f>
        <v>12</v>
      </c>
      <c r="C17" s="17" t="n">
        <f aca="false">COUNTIFS('Capability map'!$B$2:$B$123,$A17,'Capability map'!$K$2:$K$123,"Must have")</f>
        <v>0</v>
      </c>
      <c r="D17" s="17" t="n">
        <f aca="false">COUNTIFS('Capability map'!$B$2:$B$123,$A17,'Capability map'!$I$2:$I$123,"Built")</f>
        <v>5</v>
      </c>
      <c r="E17" s="17" t="n">
        <f aca="false">COUNTIFS('Capability map'!$B$2:$B$123,$A17,'Capability map'!$I$2:$I$123,"Not yet")</f>
        <v>5</v>
      </c>
    </row>
    <row r="18" customFormat="false" ht="15" hidden="false" customHeight="false" outlineLevel="0" collapsed="false">
      <c r="A18" s="17" t="s">
        <v>249</v>
      </c>
      <c r="B18" s="17" t="n">
        <f aca="false">COUNTIF('Capability map'!$B$2:$B$123,$A18)</f>
        <v>9</v>
      </c>
      <c r="C18" s="17" t="n">
        <f aca="false">COUNTIFS('Capability map'!$B$2:$B$123,$A18,'Capability map'!$K$2:$K$123,"Must have")</f>
        <v>0</v>
      </c>
      <c r="D18" s="17" t="n">
        <f aca="false">COUNTIFS('Capability map'!$B$2:$B$123,$A18,'Capability map'!$I$2:$I$123,"Built")</f>
        <v>0</v>
      </c>
      <c r="E18" s="17" t="n">
        <f aca="false">COUNTIFS('Capability map'!$B$2:$B$123,$A18,'Capability map'!$I$2:$I$123,"Not yet")</f>
        <v>9</v>
      </c>
    </row>
    <row r="19" customFormat="false" ht="15" hidden="false" customHeight="false" outlineLevel="0" collapsed="false">
      <c r="A19" s="17" t="s">
        <v>280</v>
      </c>
      <c r="B19" s="17" t="n">
        <f aca="false">COUNTIF('Capability map'!$B$2:$B$123,$A19)</f>
        <v>8</v>
      </c>
      <c r="C19" s="17" t="n">
        <f aca="false">COUNTIFS('Capability map'!$B$2:$B$123,$A19,'Capability map'!$K$2:$K$123,"Must have")</f>
        <v>0</v>
      </c>
      <c r="D19" s="17" t="n">
        <f aca="false">COUNTIFS('Capability map'!$B$2:$B$123,$A19,'Capability map'!$I$2:$I$123,"Built")</f>
        <v>1</v>
      </c>
      <c r="E19" s="17" t="n">
        <f aca="false">COUNTIFS('Capability map'!$B$2:$B$123,$A19,'Capability map'!$I$2:$I$123,"Not yet")</f>
        <v>2</v>
      </c>
    </row>
    <row r="20" customFormat="false" ht="15" hidden="false" customHeight="false" outlineLevel="0" collapsed="false">
      <c r="A20" s="17" t="s">
        <v>311</v>
      </c>
      <c r="B20" s="17" t="n">
        <f aca="false">COUNTIF('Capability map'!$B$2:$B$123,$A20)</f>
        <v>9</v>
      </c>
      <c r="C20" s="17" t="n">
        <f aca="false">COUNTIFS('Capability map'!$B$2:$B$123,$A20,'Capability map'!$K$2:$K$123,"Must have")</f>
        <v>0</v>
      </c>
      <c r="D20" s="17" t="n">
        <f aca="false">COUNTIFS('Capability map'!$B$2:$B$123,$A20,'Capability map'!$I$2:$I$123,"Built")</f>
        <v>5</v>
      </c>
      <c r="E20" s="17" t="n">
        <f aca="false">COUNTIFS('Capability map'!$B$2:$B$123,$A20,'Capability map'!$I$2:$I$123,"Not yet")</f>
        <v>2</v>
      </c>
    </row>
    <row r="21" customFormat="false" ht="15" hidden="false" customHeight="false" outlineLevel="0" collapsed="false">
      <c r="A21" s="17" t="s">
        <v>346</v>
      </c>
      <c r="B21" s="17" t="n">
        <f aca="false">COUNTIF('Capability map'!$B$2:$B$123,$A21)</f>
        <v>10</v>
      </c>
      <c r="C21" s="17" t="n">
        <f aca="false">COUNTIFS('Capability map'!$B$2:$B$123,$A21,'Capability map'!$K$2:$K$123,"Must have")</f>
        <v>0</v>
      </c>
      <c r="D21" s="17" t="n">
        <f aca="false">COUNTIFS('Capability map'!$B$2:$B$123,$A21,'Capability map'!$I$2:$I$123,"Built")</f>
        <v>1</v>
      </c>
      <c r="E21" s="17" t="n">
        <f aca="false">COUNTIFS('Capability map'!$B$2:$B$123,$A21,'Capability map'!$I$2:$I$123,"Not yet")</f>
        <v>7</v>
      </c>
    </row>
    <row r="22" customFormat="false" ht="15" hidden="false" customHeight="false" outlineLevel="0" collapsed="false">
      <c r="A22" s="17" t="s">
        <v>382</v>
      </c>
      <c r="B22" s="17" t="n">
        <f aca="false">COUNTIF('Capability map'!$B$2:$B$123,$A22)</f>
        <v>9</v>
      </c>
      <c r="C22" s="17" t="n">
        <f aca="false">COUNTIFS('Capability map'!$B$2:$B$123,$A22,'Capability map'!$K$2:$K$123,"Must have")</f>
        <v>0</v>
      </c>
      <c r="D22" s="17" t="n">
        <f aca="false">COUNTIFS('Capability map'!$B$2:$B$123,$A22,'Capability map'!$I$2:$I$123,"Built")</f>
        <v>0</v>
      </c>
      <c r="E22" s="17" t="n">
        <f aca="false">COUNTIFS('Capability map'!$B$2:$B$123,$A22,'Capability map'!$I$2:$I$123,"Not yet")</f>
        <v>9</v>
      </c>
    </row>
    <row r="23" customFormat="false" ht="15" hidden="false" customHeight="false" outlineLevel="0" collapsed="false">
      <c r="A23" s="17" t="s">
        <v>415</v>
      </c>
      <c r="B23" s="17" t="n">
        <f aca="false">COUNTIF('Capability map'!$B$2:$B$123,$A23)</f>
        <v>8</v>
      </c>
      <c r="C23" s="17" t="n">
        <f aca="false">COUNTIFS('Capability map'!$B$2:$B$123,$A23,'Capability map'!$K$2:$K$123,"Must have")</f>
        <v>0</v>
      </c>
      <c r="D23" s="17" t="n">
        <f aca="false">COUNTIFS('Capability map'!$B$2:$B$123,$A23,'Capability map'!$I$2:$I$123,"Built")</f>
        <v>1</v>
      </c>
      <c r="E23" s="17" t="n">
        <f aca="false">COUNTIFS('Capability map'!$B$2:$B$123,$A23,'Capability map'!$I$2:$I$123,"Not yet")</f>
        <v>7</v>
      </c>
    </row>
    <row r="24" customFormat="false" ht="15" hidden="false" customHeight="false" outlineLevel="0" collapsed="false">
      <c r="A24" s="17" t="s">
        <v>443</v>
      </c>
      <c r="B24" s="17" t="n">
        <f aca="false">COUNTIF('Capability map'!$B$2:$B$123,$A24)</f>
        <v>7</v>
      </c>
      <c r="C24" s="17" t="n">
        <f aca="false">COUNTIFS('Capability map'!$B$2:$B$123,$A24,'Capability map'!$K$2:$K$123,"Must have")</f>
        <v>0</v>
      </c>
      <c r="D24" s="17" t="n">
        <f aca="false">COUNTIFS('Capability map'!$B$2:$B$123,$A24,'Capability map'!$I$2:$I$123,"Built")</f>
        <v>1</v>
      </c>
      <c r="E24" s="17" t="n">
        <f aca="false">COUNTIFS('Capability map'!$B$2:$B$123,$A24,'Capability map'!$I$2:$I$123,"Not yet")</f>
        <v>6</v>
      </c>
    </row>
    <row r="25" customFormat="false" ht="15" hidden="false" customHeight="false" outlineLevel="0" collapsed="false">
      <c r="A25" s="17" t="s">
        <v>468</v>
      </c>
      <c r="B25" s="17" t="n">
        <f aca="false">COUNTIF('Capability map'!$B$2:$B$123,$A25)</f>
        <v>8</v>
      </c>
      <c r="C25" s="17" t="n">
        <f aca="false">COUNTIFS('Capability map'!$B$2:$B$123,$A25,'Capability map'!$K$2:$K$123,"Must have")</f>
        <v>0</v>
      </c>
      <c r="D25" s="17" t="n">
        <f aca="false">COUNTIFS('Capability map'!$B$2:$B$123,$A25,'Capability map'!$I$2:$I$123,"Built")</f>
        <v>1</v>
      </c>
      <c r="E25" s="17" t="n">
        <f aca="false">COUNTIFS('Capability map'!$B$2:$B$123,$A25,'Capability map'!$I$2:$I$123,"Not yet")</f>
        <v>5</v>
      </c>
    </row>
    <row r="26" customFormat="false" ht="15" hidden="false" customHeight="false" outlineLevel="0" collapsed="false">
      <c r="A26" s="16" t="s">
        <v>510</v>
      </c>
      <c r="B26" s="16" t="n">
        <f aca="false">SUM(B13:B25)</f>
        <v>122</v>
      </c>
      <c r="C26" s="16" t="n">
        <f aca="false">SUM(C13:C25)</f>
        <v>0</v>
      </c>
      <c r="D26" s="16" t="n">
        <f aca="false">SUM(D13:D25)</f>
        <v>34</v>
      </c>
      <c r="E26" s="16" t="n">
        <f aca="false">SUM(E13:E25)</f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2026-08-31T09:52:22Z</dcterms:created>
  <dc:creator>openpyxl</dc:creator>
  <dc:description/>
  <dc:language>en-US</dc:language>
  <cp:lastModifiedBy/>
  <dcterms:modified xsi:type="dcterms:W3CDTF">2026-08-31T09:52:22Z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